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Wanderley\Publicacoes\Formularios\"/>
    </mc:Choice>
  </mc:AlternateContent>
  <xr:revisionPtr revIDLastSave="0" documentId="13_ncr:1_{1672E6DE-01DE-46C0-AC16-FA16E6A87E6E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Áreas" sheetId="1" r:id="rId1"/>
    <sheet name="Objetivos" sheetId="2" r:id="rId2"/>
    <sheet name="Estratégias" sheetId="3" r:id="rId3"/>
    <sheet name="Registros Diári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4" l="1"/>
  <c r="C21" i="4"/>
  <c r="E20" i="4"/>
  <c r="C20" i="4"/>
  <c r="E19" i="4"/>
  <c r="C19" i="4"/>
  <c r="E18" i="4"/>
  <c r="C18" i="4"/>
  <c r="E17" i="4"/>
  <c r="C17" i="4"/>
  <c r="E16" i="4"/>
  <c r="C16" i="4"/>
  <c r="E15" i="4"/>
  <c r="C15" i="4"/>
  <c r="E14" i="4"/>
  <c r="C14" i="4"/>
  <c r="E13" i="4"/>
  <c r="C13" i="4"/>
  <c r="E12" i="4"/>
  <c r="C12" i="4"/>
  <c r="E11" i="4"/>
  <c r="C11" i="4"/>
  <c r="E10" i="4"/>
  <c r="C10" i="4"/>
  <c r="E9" i="4"/>
  <c r="C9" i="4"/>
  <c r="E8" i="4"/>
  <c r="C8" i="4"/>
  <c r="E7" i="4"/>
  <c r="C7" i="4"/>
  <c r="E6" i="4"/>
  <c r="C6" i="4"/>
  <c r="E5" i="4"/>
  <c r="C5" i="4"/>
  <c r="E4" i="4"/>
  <c r="C4" i="4"/>
  <c r="E3" i="4"/>
  <c r="C3" i="4"/>
  <c r="E2" i="4"/>
  <c r="C2" i="4"/>
</calcChain>
</file>

<file path=xl/sharedStrings.xml><?xml version="1.0" encoding="utf-8"?>
<sst xmlns="http://schemas.openxmlformats.org/spreadsheetml/2006/main" count="60" uniqueCount="46">
  <si>
    <t>Código Área</t>
  </si>
  <si>
    <t>Área</t>
  </si>
  <si>
    <t>A01</t>
  </si>
  <si>
    <t>Família</t>
  </si>
  <si>
    <t>A02</t>
  </si>
  <si>
    <t>Igreja</t>
  </si>
  <si>
    <t>A03</t>
  </si>
  <si>
    <t>Escola</t>
  </si>
  <si>
    <t>A04</t>
  </si>
  <si>
    <t>Amigos</t>
  </si>
  <si>
    <t>A05</t>
  </si>
  <si>
    <t>Comunidade</t>
  </si>
  <si>
    <t>A06</t>
  </si>
  <si>
    <t>Eu mesmo</t>
  </si>
  <si>
    <t>Código Objetivo</t>
  </si>
  <si>
    <t>Área Vinculada</t>
  </si>
  <si>
    <t>Descrição do Objetivo</t>
  </si>
  <si>
    <t>A01O01</t>
  </si>
  <si>
    <t>Participar mais das refeições em família</t>
  </si>
  <si>
    <t>A01O02</t>
  </si>
  <si>
    <t>Reservar tempo para conversa</t>
  </si>
  <si>
    <t>A02O01</t>
  </si>
  <si>
    <t>Frequentar os cultos regularmente</t>
  </si>
  <si>
    <t>A03O01</t>
  </si>
  <si>
    <t>Melhorar desempenho escolar</t>
  </si>
  <si>
    <t>A04O01</t>
  </si>
  <si>
    <t>Apoiar um amigo em dificuldade</t>
  </si>
  <si>
    <t>A06O01</t>
  </si>
  <si>
    <t>Praticar autocuidado diário</t>
  </si>
  <si>
    <t>Código Estratégia</t>
  </si>
  <si>
    <t>Objetivo Vinculado</t>
  </si>
  <si>
    <t>Descrição da Estratégia</t>
  </si>
  <si>
    <t>Pontos</t>
  </si>
  <si>
    <t>A01O01E01</t>
  </si>
  <si>
    <t>Ajudar a montar a mesa 4x na semana</t>
  </si>
  <si>
    <t>A01O01E02</t>
  </si>
  <si>
    <t>Orar com a família antes das refeições</t>
  </si>
  <si>
    <t>A01O02E01</t>
  </si>
  <si>
    <t>Desligar o celular e ouvir ativamente</t>
  </si>
  <si>
    <t>A03O01E01</t>
  </si>
  <si>
    <t>Estudar pelo menos 1h por dia</t>
  </si>
  <si>
    <t>A06O01E01</t>
  </si>
  <si>
    <t>Beber 2L de água por dia</t>
  </si>
  <si>
    <t>Data</t>
  </si>
  <si>
    <t>Resultado</t>
  </si>
  <si>
    <t>Pontos Ganhos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</si>
</sst>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sqref="A1:B1048576"/>
    </sheetView>
  </sheetViews>
  <sheetFormatPr defaultRowHeight="15" x14ac:dyDescent="0.25"/>
  <cols>
    <col min="1" max="1" width="11.7109375" bestFit="1" customWidth="1"/>
    <col min="2" max="2" width="12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sqref="A1:D1048576"/>
    </sheetView>
  </sheetViews>
  <sheetFormatPr defaultRowHeight="15" x14ac:dyDescent="0.25"/>
  <cols>
    <col min="1" max="1" width="15.42578125" bestFit="1" customWidth="1"/>
    <col min="2" max="2" width="14.42578125" bestFit="1" customWidth="1"/>
    <col min="3" max="3" width="36.7109375" bestFit="1" customWidth="1"/>
  </cols>
  <sheetData>
    <row r="1" spans="1:3" x14ac:dyDescent="0.25">
      <c r="A1" s="1" t="s">
        <v>14</v>
      </c>
      <c r="B1" s="1" t="s">
        <v>15</v>
      </c>
      <c r="C1" s="1" t="s">
        <v>16</v>
      </c>
    </row>
    <row r="2" spans="1:3" x14ac:dyDescent="0.25">
      <c r="A2" t="s">
        <v>17</v>
      </c>
      <c r="B2" t="s">
        <v>2</v>
      </c>
      <c r="C2" t="s">
        <v>18</v>
      </c>
    </row>
    <row r="3" spans="1:3" x14ac:dyDescent="0.25">
      <c r="A3" t="s">
        <v>19</v>
      </c>
      <c r="B3" t="s">
        <v>2</v>
      </c>
      <c r="C3" t="s">
        <v>20</v>
      </c>
    </row>
    <row r="4" spans="1:3" x14ac:dyDescent="0.25">
      <c r="A4" t="s">
        <v>21</v>
      </c>
      <c r="B4" t="s">
        <v>4</v>
      </c>
      <c r="C4" t="s">
        <v>22</v>
      </c>
    </row>
    <row r="5" spans="1:3" x14ac:dyDescent="0.25">
      <c r="A5" t="s">
        <v>23</v>
      </c>
      <c r="B5" t="s">
        <v>6</v>
      </c>
      <c r="C5" t="s">
        <v>24</v>
      </c>
    </row>
    <row r="6" spans="1:3" x14ac:dyDescent="0.25">
      <c r="A6" t="s">
        <v>25</v>
      </c>
      <c r="B6" t="s">
        <v>8</v>
      </c>
      <c r="C6" t="s">
        <v>26</v>
      </c>
    </row>
    <row r="7" spans="1:3" x14ac:dyDescent="0.25">
      <c r="A7" t="s">
        <v>27</v>
      </c>
      <c r="B7" t="s">
        <v>12</v>
      </c>
      <c r="C7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opLeftCell="A2" workbookViewId="0">
      <selection sqref="A1:D1048576"/>
    </sheetView>
  </sheetViews>
  <sheetFormatPr defaultRowHeight="15" x14ac:dyDescent="0.25"/>
  <cols>
    <col min="1" max="1" width="16.42578125" bestFit="1" customWidth="1"/>
    <col min="2" max="2" width="18.28515625" bestFit="1" customWidth="1"/>
    <col min="3" max="3" width="35.140625" bestFit="1" customWidth="1"/>
    <col min="4" max="4" width="7.140625" bestFit="1" customWidth="1"/>
  </cols>
  <sheetData>
    <row r="1" spans="1:4" x14ac:dyDescent="0.25">
      <c r="A1" s="1" t="s">
        <v>29</v>
      </c>
      <c r="B1" s="1" t="s">
        <v>30</v>
      </c>
      <c r="C1" s="1" t="s">
        <v>31</v>
      </c>
      <c r="D1" s="1" t="s">
        <v>32</v>
      </c>
    </row>
    <row r="2" spans="1:4" x14ac:dyDescent="0.25">
      <c r="A2" t="s">
        <v>33</v>
      </c>
      <c r="B2" t="s">
        <v>17</v>
      </c>
      <c r="C2" t="s">
        <v>34</v>
      </c>
      <c r="D2">
        <v>10</v>
      </c>
    </row>
    <row r="3" spans="1:4" x14ac:dyDescent="0.25">
      <c r="A3" t="s">
        <v>35</v>
      </c>
      <c r="B3" t="s">
        <v>17</v>
      </c>
      <c r="C3" t="s">
        <v>36</v>
      </c>
      <c r="D3">
        <v>10</v>
      </c>
    </row>
    <row r="4" spans="1:4" x14ac:dyDescent="0.25">
      <c r="A4" t="s">
        <v>37</v>
      </c>
      <c r="B4" t="s">
        <v>19</v>
      </c>
      <c r="C4" t="s">
        <v>38</v>
      </c>
      <c r="D4">
        <v>10</v>
      </c>
    </row>
    <row r="5" spans="1:4" x14ac:dyDescent="0.25">
      <c r="A5" t="s">
        <v>39</v>
      </c>
      <c r="B5" t="s">
        <v>23</v>
      </c>
      <c r="C5" t="s">
        <v>40</v>
      </c>
      <c r="D5">
        <v>10</v>
      </c>
    </row>
    <row r="6" spans="1:4" x14ac:dyDescent="0.25">
      <c r="A6" t="s">
        <v>41</v>
      </c>
      <c r="B6" t="s">
        <v>27</v>
      </c>
      <c r="C6" t="s">
        <v>42</v>
      </c>
      <c r="D6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10.7109375" bestFit="1" customWidth="1"/>
    <col min="2" max="2" width="16.42578125" bestFit="1" customWidth="1"/>
    <col min="3" max="3" width="21.5703125" bestFit="1" customWidth="1"/>
    <col min="4" max="4" width="9.85546875" bestFit="1" customWidth="1"/>
    <col min="5" max="5" width="14.42578125" bestFit="1" customWidth="1"/>
  </cols>
  <sheetData>
    <row r="1" spans="1:5" x14ac:dyDescent="0.25">
      <c r="A1" s="1" t="s">
        <v>43</v>
      </c>
      <c r="B1" s="1" t="s">
        <v>29</v>
      </c>
      <c r="C1" s="1" t="s">
        <v>31</v>
      </c>
      <c r="D1" s="1" t="s">
        <v>44</v>
      </c>
      <c r="E1" s="1" t="s">
        <v>45</v>
      </c>
    </row>
    <row r="2" spans="1:5" x14ac:dyDescent="0.25">
      <c r="A2" s="2">
        <v>45853</v>
      </c>
      <c r="B2" t="s">
        <v>33</v>
      </c>
      <c r="C2" t="str">
        <f>IFERROR(VLOOKUP(B2,Estratégias!$A$2:$C$100,2,FALSE),"")</f>
        <v>A01O01</v>
      </c>
      <c r="E2" t="str">
        <f>IFERROR(VLOOKUP(B2,Estratégias!$A$2:$C$100,3,FALSE),"")</f>
        <v>Ajudar a montar a mesa 4x na semana</v>
      </c>
    </row>
    <row r="3" spans="1:5" x14ac:dyDescent="0.25">
      <c r="C3" t="str">
        <f>IFERROR(VLOOKUP(B3,Estratégias!$A$2:$C$100,2,FALSE),"")</f>
        <v/>
      </c>
      <c r="E3" t="str">
        <f>IFERROR(VLOOKUP(B3,Estratégias!$A$2:$C$100,3,FALSE),"")</f>
        <v/>
      </c>
    </row>
    <row r="4" spans="1:5" x14ac:dyDescent="0.25">
      <c r="C4" t="str">
        <f>IFERROR(VLOOKUP(B4,Estratégias!$A$2:$C$100,2,FALSE),"")</f>
        <v/>
      </c>
      <c r="E4" t="str">
        <f>IFERROR(VLOOKUP(B4,Estratégias!$A$2:$C$100,3,FALSE),"")</f>
        <v/>
      </c>
    </row>
    <row r="5" spans="1:5" x14ac:dyDescent="0.25">
      <c r="C5" t="str">
        <f>IFERROR(VLOOKUP(B5,Estratégias!$A$2:$C$100,2,FALSE),"")</f>
        <v/>
      </c>
      <c r="E5" t="str">
        <f>IFERROR(VLOOKUP(B5,Estratégias!$A$2:$C$100,3,FALSE),"")</f>
        <v/>
      </c>
    </row>
    <row r="6" spans="1:5" x14ac:dyDescent="0.25">
      <c r="C6" t="str">
        <f>IFERROR(VLOOKUP(B6,Estratégias!$A$2:$C$100,2,FALSE),"")</f>
        <v/>
      </c>
      <c r="E6" t="str">
        <f>IFERROR(VLOOKUP(B6,Estratégias!$A$2:$C$100,3,FALSE),"")</f>
        <v/>
      </c>
    </row>
    <row r="7" spans="1:5" x14ac:dyDescent="0.25">
      <c r="C7" t="str">
        <f>IFERROR(VLOOKUP(B7,Estratégias!$A$2:$C$100,2,FALSE),"")</f>
        <v/>
      </c>
      <c r="E7" t="str">
        <f>IFERROR(VLOOKUP(B7,Estratégias!$A$2:$C$100,3,FALSE),"")</f>
        <v/>
      </c>
    </row>
    <row r="8" spans="1:5" x14ac:dyDescent="0.25">
      <c r="C8" t="str">
        <f>IFERROR(VLOOKUP(B8,Estratégias!$A$2:$C$100,2,FALSE),"")</f>
        <v/>
      </c>
      <c r="E8" t="str">
        <f>IFERROR(VLOOKUP(B8,Estratégias!$A$2:$C$100,3,FALSE),"")</f>
        <v/>
      </c>
    </row>
    <row r="9" spans="1:5" x14ac:dyDescent="0.25">
      <c r="C9" t="str">
        <f>IFERROR(VLOOKUP(B9,Estratégias!$A$2:$C$100,2,FALSE),"")</f>
        <v/>
      </c>
      <c r="E9" t="str">
        <f>IFERROR(VLOOKUP(B9,Estratégias!$A$2:$C$100,3,FALSE),"")</f>
        <v/>
      </c>
    </row>
    <row r="10" spans="1:5" x14ac:dyDescent="0.25">
      <c r="C10" t="str">
        <f>IFERROR(VLOOKUP(B10,Estratégias!$A$2:$C$100,2,FALSE),"")</f>
        <v/>
      </c>
      <c r="E10" t="str">
        <f>IFERROR(VLOOKUP(B10,Estratégias!$A$2:$C$100,3,FALSE),"")</f>
        <v/>
      </c>
    </row>
    <row r="11" spans="1:5" x14ac:dyDescent="0.25">
      <c r="C11" t="str">
        <f>IFERROR(VLOOKUP(B11,Estratégias!$A$2:$C$100,2,FALSE),"")</f>
        <v/>
      </c>
      <c r="E11" t="str">
        <f>IFERROR(VLOOKUP(B11,Estratégias!$A$2:$C$100,3,FALSE),"")</f>
        <v/>
      </c>
    </row>
    <row r="12" spans="1:5" x14ac:dyDescent="0.25">
      <c r="C12" t="str">
        <f>IFERROR(VLOOKUP(B12,Estratégias!$A$2:$C$100,2,FALSE),"")</f>
        <v/>
      </c>
      <c r="E12" t="str">
        <f>IFERROR(VLOOKUP(B12,Estratégias!$A$2:$C$100,3,FALSE),"")</f>
        <v/>
      </c>
    </row>
    <row r="13" spans="1:5" x14ac:dyDescent="0.25">
      <c r="C13" t="str">
        <f>IFERROR(VLOOKUP(B13,Estratégias!$A$2:$C$100,2,FALSE),"")</f>
        <v/>
      </c>
      <c r="E13" t="str">
        <f>IFERROR(VLOOKUP(B13,Estratégias!$A$2:$C$100,3,FALSE),"")</f>
        <v/>
      </c>
    </row>
    <row r="14" spans="1:5" x14ac:dyDescent="0.25">
      <c r="C14" t="str">
        <f>IFERROR(VLOOKUP(B14,Estratégias!$A$2:$C$100,2,FALSE),"")</f>
        <v/>
      </c>
      <c r="E14" t="str">
        <f>IFERROR(VLOOKUP(B14,Estratégias!$A$2:$C$100,3,FALSE),"")</f>
        <v/>
      </c>
    </row>
    <row r="15" spans="1:5" x14ac:dyDescent="0.25">
      <c r="C15" t="str">
        <f>IFERROR(VLOOKUP(B15,Estratégias!$A$2:$C$100,2,FALSE),"")</f>
        <v/>
      </c>
      <c r="E15" t="str">
        <f>IFERROR(VLOOKUP(B15,Estratégias!$A$2:$C$100,3,FALSE),"")</f>
        <v/>
      </c>
    </row>
    <row r="16" spans="1:5" x14ac:dyDescent="0.25">
      <c r="C16" t="str">
        <f>IFERROR(VLOOKUP(B16,Estratégias!$A$2:$C$100,2,FALSE),"")</f>
        <v/>
      </c>
      <c r="E16" t="str">
        <f>IFERROR(VLOOKUP(B16,Estratégias!$A$2:$C$100,3,FALSE),"")</f>
        <v/>
      </c>
    </row>
    <row r="17" spans="3:5" x14ac:dyDescent="0.25">
      <c r="C17" t="str">
        <f>IFERROR(VLOOKUP(B17,Estratégias!$A$2:$C$100,2,FALSE),"")</f>
        <v/>
      </c>
      <c r="E17" t="str">
        <f>IFERROR(VLOOKUP(B17,Estratégias!$A$2:$C$100,3,FALSE),"")</f>
        <v/>
      </c>
    </row>
    <row r="18" spans="3:5" x14ac:dyDescent="0.25">
      <c r="C18" t="str">
        <f>IFERROR(VLOOKUP(B18,Estratégias!$A$2:$C$100,2,FALSE),"")</f>
        <v/>
      </c>
      <c r="E18" t="str">
        <f>IFERROR(VLOOKUP(B18,Estratégias!$A$2:$C$100,3,FALSE),"")</f>
        <v/>
      </c>
    </row>
    <row r="19" spans="3:5" x14ac:dyDescent="0.25">
      <c r="C19" t="str">
        <f>IFERROR(VLOOKUP(B19,Estratégias!$A$2:$C$100,2,FALSE),"")</f>
        <v/>
      </c>
      <c r="E19" t="str">
        <f>IFERROR(VLOOKUP(B19,Estratégias!$A$2:$C$100,3,FALSE),"")</f>
        <v/>
      </c>
    </row>
    <row r="20" spans="3:5" x14ac:dyDescent="0.25">
      <c r="C20" t="str">
        <f>IFERROR(VLOOKUP(B20,Estratégias!$A$2:$C$100,2,FALSE),"")</f>
        <v/>
      </c>
      <c r="E20" t="str">
        <f>IFERROR(VLOOKUP(B20,Estratégias!$A$2:$C$100,3,FALSE),"")</f>
        <v/>
      </c>
    </row>
    <row r="21" spans="3:5" x14ac:dyDescent="0.25">
      <c r="C21" t="str">
        <f>IFERROR(VLOOKUP(B21,Estratégias!$A$2:$C$100,2,FALSE),"")</f>
        <v/>
      </c>
      <c r="E21" t="str">
        <f>IFERROR(VLOOKUP(B21,Estratégias!$A$2:$C$100,3,FALSE),"")</f>
        <v/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Estratégias!$A$2:$A$100</xm:f>
          </x14:formula1>
          <xm:sqref>B2:B22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Áreas</vt:lpstr>
      <vt:lpstr>Objetivos</vt:lpstr>
      <vt:lpstr>Estratégias</vt:lpstr>
      <vt:lpstr>Registros Diários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Wanderley Gazeta</cp:lastModifiedBy>
  <dcterms:created xsi:type="dcterms:W3CDTF">2025-07-15T21:16:14Z</dcterms:created>
  <dcterms:modified xsi:type="dcterms:W3CDTF">2025-07-15T21:58:56Z</dcterms:modified>
</cp:coreProperties>
</file>