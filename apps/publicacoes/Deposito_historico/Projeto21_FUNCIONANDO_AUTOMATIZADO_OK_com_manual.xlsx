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5" autoFilterDateGrouping="1"/>
  </bookViews>
  <sheets>
    <sheet xmlns:r="http://schemas.openxmlformats.org/officeDocument/2006/relationships" name="Manual de Uso" sheetId="1" state="visible" r:id="rId1"/>
    <sheet xmlns:r="http://schemas.openxmlformats.org/officeDocument/2006/relationships" name="Áreas" sheetId="2" state="visible" r:id="rId2"/>
    <sheet xmlns:r="http://schemas.openxmlformats.org/officeDocument/2006/relationships" name="Resumo Semanal" sheetId="3" state="visible" r:id="rId3"/>
    <sheet xmlns:r="http://schemas.openxmlformats.org/officeDocument/2006/relationships" name="Níveis Alcançados" sheetId="4" state="visible" r:id="rId4"/>
    <sheet xmlns:r="http://schemas.openxmlformats.org/officeDocument/2006/relationships" name="Objetivos" sheetId="5" state="visible" r:id="rId5"/>
    <sheet xmlns:r="http://schemas.openxmlformats.org/officeDocument/2006/relationships" name="Estratégias" sheetId="6" state="visible" r:id="rId6"/>
    <sheet xmlns:r="http://schemas.openxmlformats.org/officeDocument/2006/relationships" name="Registros Diários" sheetId="7" state="visible" r:id="rId7"/>
    <sheet xmlns:r="http://schemas.openxmlformats.org/officeDocument/2006/relationships" name="ListasAuxiliares" sheetId="8" state="visible" r:id="rId8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  <sz val="12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857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857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857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MANUAL DE USO – PROJETO 21</t>
        </is>
      </c>
    </row>
    <row r="2">
      <c r="A2" s="4" t="inlineStr"/>
    </row>
    <row r="3">
      <c r="A3" s="3" t="inlineStr">
        <is>
          <t>1️⃣ Escolher a Área</t>
        </is>
      </c>
    </row>
    <row r="4">
      <c r="A4" s="4" t="inlineStr">
        <is>
          <t>Abra a aba 'Registros Diários' e, na coluna Área, escolha a área desejada a partir da lista suspensa.</t>
        </is>
      </c>
    </row>
    <row r="5">
      <c r="A5" s="4" t="inlineStr">
        <is>
          <t>Exemplo: Selecione 'Família' na célula.</t>
        </is>
      </c>
    </row>
    <row r="6">
      <c r="A6" s="4" t="inlineStr"/>
    </row>
    <row r="7">
      <c r="A7" s="3" t="inlineStr">
        <is>
          <t>2️⃣ Escolher o Objetivo</t>
        </is>
      </c>
    </row>
    <row r="8">
      <c r="A8" s="4" t="inlineStr">
        <is>
          <t>Após escolher a Área, a coluna Objetivo mostrará apenas os objetivos relacionados àquela área.</t>
        </is>
      </c>
    </row>
    <row r="9">
      <c r="A9" s="4" t="inlineStr">
        <is>
          <t>Exemplo: Para 'Família', aparecerá 'Melhorar a comunicação com meus pais'.</t>
        </is>
      </c>
    </row>
    <row r="10">
      <c r="A10" s="4" t="inlineStr"/>
    </row>
    <row r="11">
      <c r="A11" s="3" t="inlineStr">
        <is>
          <t>3️⃣ Escolher a Estratégia</t>
        </is>
      </c>
    </row>
    <row r="12">
      <c r="A12" s="4" t="inlineStr">
        <is>
          <t>Após escolher o Objetivo, a coluna Estratégia mostrará apenas as estratégias relacionadas àquele objetivo.</t>
        </is>
      </c>
    </row>
    <row r="13">
      <c r="A13" s="4" t="inlineStr">
        <is>
          <t>Exemplo: 'Reservar 15 minutos por dia para conversar'.</t>
        </is>
      </c>
    </row>
    <row r="14">
      <c r="A14" s="4" t="inlineStr"/>
    </row>
    <row r="15">
      <c r="A15" s="3" t="inlineStr">
        <is>
          <t>ℹ️ Observações importantes</t>
        </is>
      </c>
    </row>
    <row r="16">
      <c r="A16" s="4" t="inlineStr">
        <is>
          <t>- Você não precisa digitar códigos ou nomes manualmente.</t>
        </is>
      </c>
    </row>
    <row r="17">
      <c r="A17" s="4" t="inlineStr">
        <is>
          <t>- O sistema mantém a consistência automaticamente.</t>
        </is>
      </c>
    </row>
    <row r="18">
      <c r="A18" s="4" t="inlineStr">
        <is>
          <t>- A aba 'ListasAuxiliares' é de uso restrito da administração.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17"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topLeftCell="B1" workbookViewId="0">
      <selection activeCell="C4" sqref="C4"/>
    </sheetView>
  </sheetViews>
  <sheetFormatPr baseColWidth="8" defaultRowHeight="15"/>
  <cols>
    <col width="12.28515625" bestFit="1" customWidth="1" min="1" max="1"/>
    <col width="50.5703125" bestFit="1" customWidth="1" min="2" max="2"/>
    <col width="49.7109375" bestFit="1" customWidth="1" min="3" max="3"/>
    <col width="18.28515625" bestFit="1" customWidth="1" min="4" max="4"/>
    <col hidden="1" width="38.140625" customWidth="1" min="9" max="9"/>
    <col width="54.7109375" bestFit="1" customWidth="1" min="25" max="25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Familia</t>
        </is>
      </c>
      <c r="B2" t="inlineStr">
        <is>
          <t>Melhorar a comunicação com meus pais</t>
        </is>
      </c>
      <c r="C2" t="inlineStr">
        <is>
          <t>Perguntar como foi o dia deles e escutar com atenção.</t>
        </is>
      </c>
      <c r="D2" s="2" t="n"/>
      <c r="H2">
        <f>IF(F2="✅ Executado", 10, IF(F2="🟡 Parcial", 5, 0))</f>
        <v/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>I2</f>
        <v/>
      </c>
    </row>
    <row r="3">
      <c r="A3" t="inlineStr">
        <is>
          <t>Familia</t>
        </is>
      </c>
      <c r="B3" t="inlineStr">
        <is>
          <t>Passar tempo de qualidade com minha família</t>
        </is>
      </c>
      <c r="C3" t="inlineStr">
        <is>
          <t>Tomar café da manhã junto pelo menos 2 vezes por semana.</t>
        </is>
      </c>
      <c r="H3">
        <f>IF(F3="✅ Executado", 10, IF(F3="🟡 Parcial", 5, 0))</f>
        <v/>
      </c>
      <c r="I3">
        <f>SUBSTITUTE(SUBSTITUTE(SUBSTITUTE(SUBSTITUTE(SUBSTITUTE(SUBSTITUTE(B3,"á","a"),"é","e"),"í","i"),"ó","o"),"ú","u")," ","_")</f>
        <v/>
      </c>
      <c r="Z3">
        <f>I3</f>
        <v/>
      </c>
    </row>
    <row r="4">
      <c r="A4" t="inlineStr">
        <is>
          <t>Familia</t>
        </is>
      </c>
      <c r="B4" t="inlineStr">
        <is>
          <t>Passar tempo de qualidade com minha família</t>
        </is>
      </c>
      <c r="C4" t="inlineStr">
        <is>
          <t>Ficar presente nos momentos familiares sem me isolar.</t>
        </is>
      </c>
      <c r="H4">
        <f>IF(F4="✅ Executado", 10, IF(F4="🟡 Parcial", 5, 0))</f>
        <v/>
      </c>
      <c r="I4">
        <f>SUBSTITUTE(SUBSTITUTE(SUBSTITUTE(SUBSTITUTE(SUBSTITUTE(SUBSTITUTE(B4,"á","a"),"é","e"),"í","i"),"ó","o"),"ú","u")," ","_")</f>
        <v/>
      </c>
      <c r="Z4">
        <f>I4</f>
        <v/>
      </c>
    </row>
    <row r="5">
      <c r="A5" t="inlineStr">
        <is>
          <t>Familia</t>
        </is>
      </c>
      <c r="B5" t="inlineStr">
        <is>
          <t>Ser mais paciente com meus irmãos ou parentes</t>
        </is>
      </c>
      <c r="H5">
        <f>IF(F5="✅ Executado", 10, IF(F5="🟡 Parcial", 5, 0))</f>
        <v/>
      </c>
      <c r="I5">
        <f>SUBSTITUTE(SUBSTITUTE(SUBSTITUTE(SUBSTITUTE(SUBSTITUTE(SUBSTITUTE(B5,"á","a"),"é","e"),"í","i"),"ó","o"),"ú","u")," ","_")</f>
        <v/>
      </c>
      <c r="Z5">
        <f>I5</f>
        <v/>
      </c>
    </row>
    <row r="6">
      <c r="A6" t="inlineStr">
        <is>
          <t>Familia</t>
        </is>
      </c>
      <c r="B6" t="inlineStr">
        <is>
          <t>Expressar gratidão e carinho dentro de casa</t>
        </is>
      </c>
      <c r="H6">
        <f>IF(F6="✅ Executado", 10, IF(F6="🟡 Parcial", 5, 0))</f>
        <v/>
      </c>
      <c r="I6">
        <f>SUBSTITUTE(SUBSTITUTE(SUBSTITUTE(SUBSTITUTE(SUBSTITUTE(SUBSTITUTE(B6,"á","a"),"é","e"),"í","i"),"ó","o"),"ú","u")," ","_")</f>
        <v/>
      </c>
      <c r="Z6">
        <f>I6</f>
        <v/>
      </c>
    </row>
    <row r="7">
      <c r="A7" t="inlineStr">
        <is>
          <t>Familia</t>
        </is>
      </c>
      <c r="B7" t="inlineStr">
        <is>
          <t>Evitar discussões desnecessárias</t>
        </is>
      </c>
      <c r="H7">
        <f>IF(F7="✅ Executado", 10, IF(F7="🟡 Parcial", 5, 0))</f>
        <v/>
      </c>
      <c r="I7">
        <f>SUBSTITUTE(SUBSTITUTE(SUBSTITUTE(SUBSTITUTE(SUBSTITUTE(SUBSTITUTE(B7,"á","a"),"é","e"),"í","i"),"ó","o"),"ú","u")," ","_")</f>
        <v/>
      </c>
      <c r="Z7">
        <f>I7</f>
        <v/>
      </c>
    </row>
    <row r="8">
      <c r="A8" t="inlineStr">
        <is>
          <t>Familia</t>
        </is>
      </c>
      <c r="B8" t="inlineStr">
        <is>
          <t>Orar com minha família regularmente</t>
        </is>
      </c>
      <c r="H8">
        <f>IF(F8="✅ Executado", 10, IF(F8="🟡 Parcial", 5, 0))</f>
        <v/>
      </c>
      <c r="I8">
        <f>SUBSTITUTE(SUBSTITUTE(SUBSTITUTE(SUBSTITUTE(SUBSTITUTE(SUBSTITUTE(B8,"á","a"),"é","e"),"í","i"),"ó","o"),"ú","u")," ","_")</f>
        <v/>
      </c>
      <c r="Z8">
        <f>I8</f>
        <v/>
      </c>
    </row>
    <row r="9">
      <c r="A9" t="inlineStr">
        <is>
          <t>Familia</t>
        </is>
      </c>
      <c r="B9" t="inlineStr">
        <is>
          <t>Respeitar os horários e regras do lar</t>
        </is>
      </c>
      <c r="H9">
        <f>IF(F9="✅ Executado", 10, IF(F9="🟡 Parcial", 5, 0))</f>
        <v/>
      </c>
      <c r="I9">
        <f>SUBSTITUTE(SUBSTITUTE(SUBSTITUTE(SUBSTITUTE(SUBSTITUTE(SUBSTITUTE(B9,"á","a"),"é","e"),"í","i"),"ó","o"),"ú","u")," ","_")</f>
        <v/>
      </c>
      <c r="Z9">
        <f>I9</f>
        <v/>
      </c>
    </row>
    <row r="10">
      <c r="A10" t="inlineStr">
        <is>
          <t>Igreja</t>
        </is>
      </c>
      <c r="B10" t="inlineStr">
        <is>
          <t>Frequentar os cultos com regularidade</t>
        </is>
      </c>
      <c r="H10">
        <f>IF(F10="✅ Executado", 10, IF(F10="🟡 Parcial", 5, 0))</f>
        <v/>
      </c>
      <c r="I10">
        <f>SUBSTITUTE(SUBSTITUTE(SUBSTITUTE(SUBSTITUTE(SUBSTITUTE(SUBSTITUTE(B10,"á","a"),"é","e"),"í","i"),"ó","o"),"ú","u")," ","_")</f>
        <v/>
      </c>
      <c r="Z10">
        <f>I10</f>
        <v/>
      </c>
    </row>
    <row r="11">
      <c r="A11" t="inlineStr">
        <is>
          <t>Igreja</t>
        </is>
      </c>
      <c r="B11" t="inlineStr">
        <is>
          <t>Participar ativamente do ministério de jovens</t>
        </is>
      </c>
      <c r="H11">
        <f>IF(F11="✅ Executado", 10, IF(F11="🟡 Parcial", 5, 0))</f>
        <v/>
      </c>
      <c r="I11">
        <f>SUBSTITUTE(SUBSTITUTE(SUBSTITUTE(SUBSTITUTE(SUBSTITUTE(SUBSTITUTE(B11,"á","a"),"é","e"),"í","i"),"ó","o"),"ú","u")," ","_")</f>
        <v/>
      </c>
      <c r="Z11">
        <f>I11</f>
        <v/>
      </c>
    </row>
    <row r="12">
      <c r="A12" t="inlineStr">
        <is>
          <t>Igreja</t>
        </is>
      </c>
      <c r="B12" t="inlineStr">
        <is>
          <t>Servir em algum ministério da igreja</t>
        </is>
      </c>
      <c r="H12">
        <f>IF(F12="✅ Executado", 10, IF(F12="🟡 Parcial", 5, 0))</f>
        <v/>
      </c>
      <c r="I12">
        <f>SUBSTITUTE(SUBSTITUTE(SUBSTITUTE(SUBSTITUTE(SUBSTITUTE(SUBSTITUTE(B12,"á","a"),"é","e"),"í","i"),"ó","o"),"ú","u")," ","_")</f>
        <v/>
      </c>
      <c r="Z12">
        <f>I12</f>
        <v/>
      </c>
    </row>
    <row r="13">
      <c r="A13" t="inlineStr">
        <is>
          <t>Igreja</t>
        </is>
      </c>
      <c r="B13" t="inlineStr">
        <is>
          <t>Orar e ler a Bíblia diariamente</t>
        </is>
      </c>
      <c r="H13">
        <f>IF(F13="✅ Executado", 10, IF(F13="🟡 Parcial", 5, 0))</f>
        <v/>
      </c>
      <c r="I13">
        <f>SUBSTITUTE(SUBSTITUTE(SUBSTITUTE(SUBSTITUTE(SUBSTITUTE(SUBSTITUTE(B13,"á","a"),"é","e"),"í","i"),"ó","o"),"ú","u")," ","_")</f>
        <v/>
      </c>
      <c r="Z13">
        <f>I13</f>
        <v/>
      </c>
    </row>
    <row r="14">
      <c r="A14" t="inlineStr">
        <is>
          <t>Igreja</t>
        </is>
      </c>
      <c r="B14" t="inlineStr">
        <is>
          <t>Testemunhar minha fé com sabedoria</t>
        </is>
      </c>
      <c r="H14">
        <f>IF(F14="✅ Executado", 10, IF(F14="🟡 Parcial", 5, 0))</f>
        <v/>
      </c>
      <c r="I14">
        <f>SUBSTITUTE(SUBSTITUTE(SUBSTITUTE(SUBSTITUTE(SUBSTITUTE(SUBSTITUTE(B14,"á","a"),"é","e"),"í","i"),"ó","o"),"ú","u")," ","_")</f>
        <v/>
      </c>
      <c r="Z14">
        <f>I14</f>
        <v/>
      </c>
    </row>
    <row r="15">
      <c r="A15" t="inlineStr">
        <is>
          <t>Igreja</t>
        </is>
      </c>
      <c r="B15" t="inlineStr">
        <is>
          <t>Apoiar os novos membros e visitantes</t>
        </is>
      </c>
      <c r="H15">
        <f>IF(F15="✅ Executado", 10, IF(F15="🟡 Parcial", 5, 0))</f>
        <v/>
      </c>
      <c r="I15">
        <f>SUBSTITUTE(SUBSTITUTE(SUBSTITUTE(SUBSTITUTE(SUBSTITUTE(SUBSTITUTE(B15,"á","a"),"é","e"),"í","i"),"ó","o"),"ú","u")," ","_")</f>
        <v/>
      </c>
      <c r="Z15">
        <f>I15</f>
        <v/>
      </c>
    </row>
    <row r="16">
      <c r="A16" t="inlineStr">
        <is>
          <t>Igreja</t>
        </is>
      </c>
      <c r="B16" t="inlineStr">
        <is>
          <t>Ser pontual e comprometido nas atividades</t>
        </is>
      </c>
      <c r="H16">
        <f>IF(F16="✅ Executado", 10, IF(F16="🟡 Parcial", 5, 0))</f>
        <v/>
      </c>
      <c r="I16">
        <f>SUBSTITUTE(SUBSTITUTE(SUBSTITUTE(SUBSTITUTE(SUBSTITUTE(SUBSTITUTE(B16,"á","a"),"é","e"),"í","i"),"ó","o"),"ú","u")," ","_")</f>
        <v/>
      </c>
      <c r="Z16">
        <f>I16</f>
        <v/>
      </c>
    </row>
    <row r="17">
      <c r="A17" t="inlineStr">
        <is>
          <t>Igreja</t>
        </is>
      </c>
      <c r="B17" t="inlineStr">
        <is>
          <t>Buscar conselhos com líderes espirituais</t>
        </is>
      </c>
      <c r="H17">
        <f>IF(F17="✅ Executado", 10, IF(F17="🟡 Parcial", 5, 0))</f>
        <v/>
      </c>
      <c r="I17">
        <f>SUBSTITUTE(SUBSTITUTE(SUBSTITUTE(SUBSTITUTE(SUBSTITUTE(SUBSTITUTE(B17,"á","a"),"é","e"),"í","i"),"ó","o"),"ú","u")," ","_")</f>
        <v/>
      </c>
      <c r="Z17">
        <f>I17</f>
        <v/>
      </c>
    </row>
    <row r="18">
      <c r="A18" t="inlineStr">
        <is>
          <t>Escola</t>
        </is>
      </c>
      <c r="B18" t="inlineStr">
        <is>
          <t>Organizar melhor meus estudos e prazos</t>
        </is>
      </c>
      <c r="H18">
        <f>IF(F18="✅ Executado", 10, IF(F18="🟡 Parcial", 5, 0))</f>
        <v/>
      </c>
      <c r="I18">
        <f>SUBSTITUTE(SUBSTITUTE(SUBSTITUTE(SUBSTITUTE(SUBSTITUTE(SUBSTITUTE(B18,"á","a"),"é","e"),"í","i"),"ó","o"),"ú","u")," ","_")</f>
        <v/>
      </c>
      <c r="Z18">
        <f>I18</f>
        <v/>
      </c>
    </row>
    <row r="19">
      <c r="A19" t="inlineStr">
        <is>
          <t>Escola</t>
        </is>
      </c>
      <c r="B19" t="inlineStr">
        <is>
          <t>Melhorar minha participação nas aulas</t>
        </is>
      </c>
      <c r="H19">
        <f>IF(F19="✅ Executado", 10, IF(F19="🟡 Parcial", 5, 0))</f>
        <v/>
      </c>
      <c r="I19">
        <f>SUBSTITUTE(SUBSTITUTE(SUBSTITUTE(SUBSTITUTE(SUBSTITUTE(SUBSTITUTE(B19,"á","a"),"é","e"),"í","i"),"ó","o"),"ú","u")," ","_")</f>
        <v/>
      </c>
      <c r="Z19">
        <f>I19</f>
        <v/>
      </c>
    </row>
    <row r="20">
      <c r="A20" t="inlineStr">
        <is>
          <t>Escola</t>
        </is>
      </c>
      <c r="B20" t="inlineStr">
        <is>
          <t>Cuidar do meu comportamento escolar</t>
        </is>
      </c>
      <c r="H20">
        <f>IF(F20="✅ Executado", 10, IF(F20="🟡 Parcial", 5, 0))</f>
        <v/>
      </c>
      <c r="I20">
        <f>SUBSTITUTE(SUBSTITUTE(SUBSTITUTE(SUBSTITUTE(SUBSTITUTE(SUBSTITUTE(B20,"á","a"),"é","e"),"í","i"),"ó","o"),"ú","u")," ","_")</f>
        <v/>
      </c>
      <c r="Z20">
        <f>I20</f>
        <v/>
      </c>
    </row>
    <row r="21">
      <c r="A21" t="inlineStr">
        <is>
          <t>Escola</t>
        </is>
      </c>
      <c r="B21" t="inlineStr">
        <is>
          <t>Buscar ajuda quando tiver dificuldades</t>
        </is>
      </c>
      <c r="H21">
        <f>IF(F21="✅ Executado", 10, IF(F21="🟡 Parcial", 5, 0))</f>
        <v/>
      </c>
      <c r="I21">
        <f>SUBSTITUTE(SUBSTITUTE(SUBSTITUTE(SUBSTITUTE(SUBSTITUTE(SUBSTITUTE(B21,"á","a"),"é","e"),"í","i"),"ó","o"),"ú","u")," ","_")</f>
        <v/>
      </c>
      <c r="Z21">
        <f>I21</f>
        <v/>
      </c>
    </row>
    <row r="22">
      <c r="A22" t="inlineStr">
        <is>
          <t>Escola</t>
        </is>
      </c>
      <c r="B22" t="inlineStr">
        <is>
          <t>Aumentar minha média em pelo menos uma disciplina</t>
        </is>
      </c>
      <c r="H22">
        <f>IF(F22="✅ Executado", 10, IF(F22="🟡 Parcial", 5, 0))</f>
        <v/>
      </c>
      <c r="I22">
        <f>SUBSTITUTE(SUBSTITUTE(SUBSTITUTE(SUBSTITUTE(SUBSTITUTE(SUBSTITUTE(B22,"á","a"),"é","e"),"í","i"),"ó","o"),"ú","u")," ","_")</f>
        <v/>
      </c>
      <c r="Z22">
        <f>I22</f>
        <v/>
      </c>
    </row>
    <row r="23">
      <c r="A23" t="inlineStr">
        <is>
          <t>Escola</t>
        </is>
      </c>
      <c r="B23" t="inlineStr">
        <is>
          <t>Respeitar professores e colegas</t>
        </is>
      </c>
      <c r="H23">
        <f>IF(F23="✅ Executado", 10, IF(F23="🟡 Parcial", 5, 0))</f>
        <v/>
      </c>
      <c r="I23">
        <f>SUBSTITUTE(SUBSTITUTE(SUBSTITUTE(SUBSTITUTE(SUBSTITUTE(SUBSTITUTE(B23,"á","a"),"é","e"),"í","i"),"ó","o"),"ú","u")," ","_")</f>
        <v/>
      </c>
      <c r="Z23">
        <f>I23</f>
        <v/>
      </c>
    </row>
    <row r="24">
      <c r="A24" t="inlineStr">
        <is>
          <t>Escola</t>
        </is>
      </c>
      <c r="B24" t="inlineStr">
        <is>
          <t>Evitar distrações em sala de aula</t>
        </is>
      </c>
      <c r="H24">
        <f>IF(F24="✅ Executado", 10, IF(F24="🟡 Parcial", 5, 0))</f>
        <v/>
      </c>
      <c r="I24">
        <f>SUBSTITUTE(SUBSTITUTE(SUBSTITUTE(SUBSTITUTE(SUBSTITUTE(SUBSTITUTE(B24,"á","a"),"é","e"),"í","i"),"ó","o"),"ú","u")," ","_")</f>
        <v/>
      </c>
      <c r="Z24">
        <f>I24</f>
        <v/>
      </c>
    </row>
    <row r="25">
      <c r="A25" t="inlineStr">
        <is>
          <t>Escola</t>
        </is>
      </c>
      <c r="B25" t="inlineStr">
        <is>
          <t>Montar um plano de estudos realista</t>
        </is>
      </c>
      <c r="H25">
        <f>IF(F25="✅ Executado", 10, IF(F25="🟡 Parcial", 5, 0))</f>
        <v/>
      </c>
      <c r="I25">
        <f>SUBSTITUTE(SUBSTITUTE(SUBSTITUTE(SUBSTITUTE(SUBSTITUTE(SUBSTITUTE(B25,"á","a"),"é","e"),"í","i"),"ó","o"),"ú","u")," ","_")</f>
        <v/>
      </c>
      <c r="Z25">
        <f>I25</f>
        <v/>
      </c>
    </row>
    <row r="26">
      <c r="A26" t="inlineStr">
        <is>
          <t>Amigos</t>
        </is>
      </c>
      <c r="B26" t="inlineStr">
        <is>
          <t>Valorizar os verdadeiros amigos</t>
        </is>
      </c>
      <c r="H26">
        <f>IF(F26="✅ Executado", 10, IF(F26="🟡 Parcial", 5, 0))</f>
        <v/>
      </c>
      <c r="I26">
        <f>SUBSTITUTE(SUBSTITUTE(SUBSTITUTE(SUBSTITUTE(SUBSTITUTE(SUBSTITUTE(B26,"á","a"),"é","e"),"í","i"),"ó","o"),"ú","u")," ","_")</f>
        <v/>
      </c>
      <c r="Z26">
        <f>I26</f>
        <v/>
      </c>
    </row>
    <row r="27">
      <c r="A27" t="inlineStr">
        <is>
          <t>Amigos</t>
        </is>
      </c>
      <c r="B27" t="inlineStr">
        <is>
          <t>Ser mais presente nos momentos difíceis</t>
        </is>
      </c>
      <c r="H27">
        <f>IF(F27="✅ Executado", 10, IF(F27="🟡 Parcial", 5, 0))</f>
        <v/>
      </c>
      <c r="I27">
        <f>SUBSTITUTE(SUBSTITUTE(SUBSTITUTE(SUBSTITUTE(SUBSTITUTE(SUBSTITUTE(B27,"á","a"),"é","e"),"í","i"),"ó","o"),"ú","u")," ","_")</f>
        <v/>
      </c>
      <c r="Z27">
        <f>I27</f>
        <v/>
      </c>
    </row>
    <row r="28">
      <c r="A28" t="inlineStr">
        <is>
          <t>Amigos</t>
        </is>
      </c>
      <c r="B28" t="inlineStr">
        <is>
          <t>Dar bons conselhos quando for procurado</t>
        </is>
      </c>
      <c r="H28">
        <f>IF(F28="✅ Executado", 10, IF(F28="🟡 Parcial", 5, 0))</f>
        <v/>
      </c>
      <c r="I28">
        <f>SUBSTITUTE(SUBSTITUTE(SUBSTITUTE(SUBSTITUTE(SUBSTITUTE(SUBSTITUTE(B28,"á","a"),"é","e"),"í","i"),"ó","o"),"ú","u")," ","_")</f>
        <v/>
      </c>
      <c r="Z28">
        <f>I28</f>
        <v/>
      </c>
    </row>
    <row r="29">
      <c r="A29" t="inlineStr">
        <is>
          <t>Amigos</t>
        </is>
      </c>
      <c r="B29" t="inlineStr">
        <is>
          <t>Manter contato com amigos antigos</t>
        </is>
      </c>
      <c r="H29">
        <f>IF(F29="✅ Executado", 10, IF(F29="🟡 Parcial", 5, 0))</f>
        <v/>
      </c>
      <c r="I29">
        <f>SUBSTITUTE(SUBSTITUTE(SUBSTITUTE(SUBSTITUTE(SUBSTITUTE(SUBSTITUTE(B29,"á","a"),"é","e"),"í","i"),"ó","o"),"ú","u")," ","_")</f>
        <v/>
      </c>
      <c r="Z29">
        <f>I29</f>
        <v/>
      </c>
    </row>
    <row r="30">
      <c r="A30" t="inlineStr">
        <is>
          <t>Amigos</t>
        </is>
      </c>
      <c r="B30" t="inlineStr">
        <is>
          <t>Evitar fofocas e julgamentos</t>
        </is>
      </c>
      <c r="H30">
        <f>IF(F30="✅ Executado", 10, IF(F30="🟡 Parcial", 5, 0))</f>
        <v/>
      </c>
      <c r="I30">
        <f>SUBSTITUTE(SUBSTITUTE(SUBSTITUTE(SUBSTITUTE(SUBSTITUTE(SUBSTITUTE(B30,"á","a"),"é","e"),"í","i"),"ó","o"),"ú","u")," ","_")</f>
        <v/>
      </c>
      <c r="Z30">
        <f>I30</f>
        <v/>
      </c>
    </row>
    <row r="31">
      <c r="A31" t="inlineStr">
        <is>
          <t>Amigos</t>
        </is>
      </c>
      <c r="B31" t="inlineStr">
        <is>
          <t>Incluir colegas que ficam isolados</t>
        </is>
      </c>
      <c r="H31">
        <f>IF(F31="✅ Executado", 10, IF(F31="🟡 Parcial", 5, 0))</f>
        <v/>
      </c>
      <c r="I31">
        <f>SUBSTITUTE(SUBSTITUTE(SUBSTITUTE(SUBSTITUTE(SUBSTITUTE(SUBSTITUTE(B31,"á","a"),"é","e"),"í","i"),"ó","o"),"ú","u")," ","_")</f>
        <v/>
      </c>
      <c r="Z31">
        <f>I31</f>
        <v/>
      </c>
    </row>
    <row r="32">
      <c r="A32" t="inlineStr">
        <is>
          <t>Amigos</t>
        </is>
      </c>
      <c r="B32" t="inlineStr">
        <is>
          <t>Desenvolver amizades saudáveis</t>
        </is>
      </c>
      <c r="H32">
        <f>IF(F32="✅ Executado", 10, IF(F32="🟡 Parcial", 5, 0))</f>
        <v/>
      </c>
      <c r="I32">
        <f>SUBSTITUTE(SUBSTITUTE(SUBSTITUTE(SUBSTITUTE(SUBSTITUTE(SUBSTITUTE(B32,"á","a"),"é","e"),"í","i"),"ó","o"),"ú","u")," ","_")</f>
        <v/>
      </c>
      <c r="Z32">
        <f>I32</f>
        <v/>
      </c>
    </row>
    <row r="33">
      <c r="A33" t="inlineStr">
        <is>
          <t>Amigos</t>
        </is>
      </c>
      <c r="B33" t="inlineStr">
        <is>
          <t>Orar por meus amigos regularmente</t>
        </is>
      </c>
      <c r="H33">
        <f>IF(F33="✅ Executado", 10, IF(F33="🟡 Parcial", 5, 0))</f>
        <v/>
      </c>
      <c r="I33">
        <f>SUBSTITUTE(SUBSTITUTE(SUBSTITUTE(SUBSTITUTE(SUBSTITUTE(SUBSTITUTE(B33,"á","a"),"é","e"),"í","i"),"ó","o"),"ú","u")," ","_")</f>
        <v/>
      </c>
      <c r="Z33">
        <f>I33</f>
        <v/>
      </c>
    </row>
    <row r="34">
      <c r="A34" t="inlineStr">
        <is>
          <t>Comunidade</t>
        </is>
      </c>
      <c r="B34" t="inlineStr">
        <is>
          <t>Participar de ações sociais ou voluntariado</t>
        </is>
      </c>
      <c r="H34">
        <f>IF(F34="✅ Executado", 10, IF(F34="🟡 Parcial", 5, 0))</f>
        <v/>
      </c>
      <c r="I34">
        <f>SUBSTITUTE(SUBSTITUTE(SUBSTITUTE(SUBSTITUTE(SUBSTITUTE(SUBSTITUTE(B34,"á","a"),"é","e"),"í","i"),"ó","o"),"ú","u")," ","_")</f>
        <v/>
      </c>
      <c r="Z34">
        <f>I34</f>
        <v/>
      </c>
    </row>
    <row r="35">
      <c r="A35" t="inlineStr">
        <is>
          <t>Comunidade</t>
        </is>
      </c>
      <c r="B35" t="inlineStr">
        <is>
          <t>Cuidar do ambiente ao meu redor</t>
        </is>
      </c>
      <c r="H35">
        <f>IF(F35="✅ Executado", 10, IF(F35="🟡 Parcial", 5, 0))</f>
        <v/>
      </c>
      <c r="I35">
        <f>SUBSTITUTE(SUBSTITUTE(SUBSTITUTE(SUBSTITUTE(SUBSTITUTE(SUBSTITUTE(B35,"á","a"),"é","e"),"í","i"),"ó","o"),"ú","u")," ","_")</f>
        <v/>
      </c>
      <c r="Z35">
        <f>I35</f>
        <v/>
      </c>
    </row>
    <row r="36">
      <c r="A36" t="inlineStr">
        <is>
          <t>Comunidade</t>
        </is>
      </c>
      <c r="B36" t="inlineStr">
        <is>
          <t>Ser respeitoso com todos, mesmo os diferentes</t>
        </is>
      </c>
      <c r="H36">
        <f>IF(F36="✅ Executado", 10, IF(F36="🟡 Parcial", 5, 0))</f>
        <v/>
      </c>
      <c r="I36">
        <f>SUBSTITUTE(SUBSTITUTE(SUBSTITUTE(SUBSTITUTE(SUBSTITUTE(SUBSTITUTE(B36,"á","a"),"é","e"),"í","i"),"ó","o"),"ú","u")," ","_")</f>
        <v/>
      </c>
      <c r="Z36">
        <f>I36</f>
        <v/>
      </c>
    </row>
    <row r="37">
      <c r="A37" t="inlineStr">
        <is>
          <t>Comunidade</t>
        </is>
      </c>
      <c r="B37" t="inlineStr">
        <is>
          <t>Cumprir regras e responsabilidades públicas</t>
        </is>
      </c>
      <c r="H37">
        <f>IF(F37="✅ Executado", 10, IF(F37="🟡 Parcial", 5, 0))</f>
        <v/>
      </c>
      <c r="I37">
        <f>SUBSTITUTE(SUBSTITUTE(SUBSTITUTE(SUBSTITUTE(SUBSTITUTE(SUBSTITUTE(B37,"á","a"),"é","e"),"í","i"),"ó","o"),"ú","u")," ","_")</f>
        <v/>
      </c>
      <c r="Z37">
        <f>I37</f>
        <v/>
      </c>
    </row>
    <row r="38">
      <c r="A38" t="inlineStr">
        <is>
          <t>Comunidade</t>
        </is>
      </c>
      <c r="B38" t="inlineStr">
        <is>
          <t>Tratar bem os vizinhos</t>
        </is>
      </c>
      <c r="H38">
        <f>IF(F38="✅ Executado", 10, IF(F38="🟡 Parcial", 5, 0))</f>
        <v/>
      </c>
      <c r="I38">
        <f>SUBSTITUTE(SUBSTITUTE(SUBSTITUTE(SUBSTITUTE(SUBSTITUTE(SUBSTITUTE(B38,"á","a"),"é","e"),"í","i"),"ó","o"),"ú","u")," ","_")</f>
        <v/>
      </c>
      <c r="Z38">
        <f>I38</f>
        <v/>
      </c>
    </row>
    <row r="39">
      <c r="A39" t="inlineStr">
        <is>
          <t>Comunidade</t>
        </is>
      </c>
      <c r="B39" t="inlineStr">
        <is>
          <t>Ajudar idosos ou crianças quando possível</t>
        </is>
      </c>
      <c r="H39">
        <f>IF(F39="✅ Executado", 10, IF(F39="🟡 Parcial", 5, 0))</f>
        <v/>
      </c>
      <c r="I39">
        <f>SUBSTITUTE(SUBSTITUTE(SUBSTITUTE(SUBSTITUTE(SUBSTITUTE(SUBSTITUTE(B39,"á","a"),"é","e"),"í","i"),"ó","o"),"ú","u")," ","_")</f>
        <v/>
      </c>
      <c r="Z39">
        <f>I39</f>
        <v/>
      </c>
    </row>
    <row r="40">
      <c r="A40" t="inlineStr">
        <is>
          <t>Comunidade</t>
        </is>
      </c>
      <c r="B40" t="inlineStr">
        <is>
          <t>Usar redes sociais com responsabilidade</t>
        </is>
      </c>
      <c r="H40">
        <f>IF(F40="✅ Executado", 10, IF(F40="🟡 Parcial", 5, 0))</f>
        <v/>
      </c>
      <c r="I40">
        <f>SUBSTITUTE(SUBSTITUTE(SUBSTITUTE(SUBSTITUTE(SUBSTITUTE(SUBSTITUTE(B40,"á","a"),"é","e"),"í","i"),"ó","o"),"ú","u")," ","_")</f>
        <v/>
      </c>
      <c r="Z40">
        <f>I40</f>
        <v/>
      </c>
    </row>
    <row r="41">
      <c r="A41" t="inlineStr">
        <is>
          <t>Comunidade</t>
        </is>
      </c>
      <c r="B41" t="inlineStr">
        <is>
          <t>Representar bem minha fé e meus valores</t>
        </is>
      </c>
      <c r="H41">
        <f>IF(F41="✅ Executado", 10, IF(F41="🟡 Parcial", 5, 0))</f>
        <v/>
      </c>
      <c r="I41">
        <f>SUBSTITUTE(SUBSTITUTE(SUBSTITUTE(SUBSTITUTE(SUBSTITUTE(SUBSTITUTE(B41,"á","a"),"é","e"),"í","i"),"ó","o"),"ú","u")," ","_")</f>
        <v/>
      </c>
      <c r="Z41">
        <f>I41</f>
        <v/>
      </c>
    </row>
    <row r="42">
      <c r="A42" t="inlineStr">
        <is>
          <t>Eu_mesmo</t>
        </is>
      </c>
      <c r="B42" t="inlineStr">
        <is>
          <t>Me conhecer melhor e valorizar minhas qualidades</t>
        </is>
      </c>
      <c r="H42">
        <f>IF(F42="✅ Executado", 10, IF(F42="🟡 Parcial", 5, 0))</f>
        <v/>
      </c>
      <c r="I42">
        <f>SUBSTITUTE(SUBSTITUTE(SUBSTITUTE(SUBSTITUTE(SUBSTITUTE(SUBSTITUTE(B42,"á","a"),"é","e"),"í","i"),"ó","o"),"ú","u")," ","_")</f>
        <v/>
      </c>
      <c r="Z42">
        <f>I42</f>
        <v/>
      </c>
    </row>
    <row r="43">
      <c r="A43" t="inlineStr">
        <is>
          <t>Eu_mesmo</t>
        </is>
      </c>
      <c r="B43" t="inlineStr">
        <is>
          <t>Cuidar da minha saúde física</t>
        </is>
      </c>
      <c r="H43">
        <f>IF(F43="✅ Executado", 10, IF(F43="🟡 Parcial", 5, 0))</f>
        <v/>
      </c>
      <c r="I43">
        <f>SUBSTITUTE(SUBSTITUTE(SUBSTITUTE(SUBSTITUTE(SUBSTITUTE(SUBSTITUTE(B43,"á","a"),"é","e"),"í","i"),"ó","o"),"ú","u")," ","_")</f>
        <v/>
      </c>
      <c r="Z43">
        <f>I43</f>
        <v/>
      </c>
    </row>
    <row r="44">
      <c r="A44" t="inlineStr">
        <is>
          <t>Eu_mesmo</t>
        </is>
      </c>
      <c r="B44" t="inlineStr">
        <is>
          <t>Controlar meu tempo no celular e redes</t>
        </is>
      </c>
      <c r="H44">
        <f>IF(F44="✅ Executado", 10, IF(F44="🟡 Parcial", 5, 0))</f>
        <v/>
      </c>
      <c r="I44">
        <f>SUBSTITUTE(SUBSTITUTE(SUBSTITUTE(SUBSTITUTE(SUBSTITUTE(SUBSTITUTE(B44,"á","a"),"é","e"),"í","i"),"ó","o"),"ú","u")," ","_")</f>
        <v/>
      </c>
      <c r="Z44">
        <f>I44</f>
        <v/>
      </c>
    </row>
    <row r="45">
      <c r="A45" t="inlineStr">
        <is>
          <t>Eu_mesmo</t>
        </is>
      </c>
      <c r="B45" t="inlineStr">
        <is>
          <t>Aprender a lidar com minhas emoções</t>
        </is>
      </c>
      <c r="H45">
        <f>IF(F45="✅ Executado", 10, IF(F45="🟡 Parcial", 5, 0))</f>
        <v/>
      </c>
      <c r="I45">
        <f>SUBSTITUTE(SUBSTITUTE(SUBSTITUTE(SUBSTITUTE(SUBSTITUTE(SUBSTITUTE(B45,"á","a"),"é","e"),"í","i"),"ó","o"),"ú","u")," ","_")</f>
        <v/>
      </c>
      <c r="Z45">
        <f>I45</f>
        <v/>
      </c>
    </row>
    <row r="46">
      <c r="A46" t="inlineStr">
        <is>
          <t>Eu_mesmo</t>
        </is>
      </c>
      <c r="B46" t="inlineStr">
        <is>
          <t>Criar hábitos saudáveis (sono, alimentação)</t>
        </is>
      </c>
      <c r="H46">
        <f>IF(F46="✅ Executado", 10, IF(F46="🟡 Parcial", 5, 0))</f>
        <v/>
      </c>
      <c r="I46">
        <f>SUBSTITUTE(SUBSTITUTE(SUBSTITUTE(SUBSTITUTE(SUBSTITUTE(SUBSTITUTE(B46,"á","a"),"é","e"),"í","i"),"ó","o"),"ú","u")," ","_")</f>
        <v/>
      </c>
      <c r="Z46">
        <f>I46</f>
        <v/>
      </c>
    </row>
    <row r="47">
      <c r="A47" t="inlineStr">
        <is>
          <t>Eu_mesmo</t>
        </is>
      </c>
      <c r="B47" t="inlineStr">
        <is>
          <t>Buscar crescimento espiritual</t>
        </is>
      </c>
      <c r="H47">
        <f>IF(F47="✅ Executado", 10, IF(F47="🟡 Parcial", 5, 0))</f>
        <v/>
      </c>
      <c r="I47">
        <f>SUBSTITUTE(SUBSTITUTE(SUBSTITUTE(SUBSTITUTE(SUBSTITUTE(SUBSTITUTE(B47,"á","a"),"é","e"),"í","i"),"ó","o"),"ú","u")," ","_")</f>
        <v/>
      </c>
      <c r="Z47">
        <f>I47</f>
        <v/>
      </c>
    </row>
    <row r="48">
      <c r="A48" t="inlineStr">
        <is>
          <t>Eu_mesmo</t>
        </is>
      </c>
      <c r="B48" t="inlineStr">
        <is>
          <t>Evitar comparações e inveja</t>
        </is>
      </c>
      <c r="H48">
        <f>IF(F48="✅ Executado", 10, IF(F48="🟡 Parcial", 5, 0))</f>
        <v/>
      </c>
      <c r="I48">
        <f>SUBSTITUTE(SUBSTITUTE(SUBSTITUTE(SUBSTITUTE(SUBSTITUTE(SUBSTITUTE(B48,"á","a"),"é","e"),"í","i"),"ó","o"),"ú","u")," ","_")</f>
        <v/>
      </c>
      <c r="Z48">
        <f>I48</f>
        <v/>
      </c>
    </row>
    <row r="49">
      <c r="A49" t="inlineStr">
        <is>
          <t>Eu_mesmo</t>
        </is>
      </c>
      <c r="B49" t="inlineStr">
        <is>
          <t>Desenvolver um plano de vida com metas claras</t>
        </is>
      </c>
      <c r="H49">
        <f>IF(F49="✅ Executado", 10, IF(F49="🟡 Parcial", 5, 0))</f>
        <v/>
      </c>
      <c r="I49">
        <f>SUBSTITUTE(SUBSTITUTE(SUBSTITUTE(SUBSTITUTE(SUBSTITUTE(SUBSTITUTE(B49,"á","a"),"é","e"),"í","i"),"ó","o"),"ú","u")," ","_")</f>
        <v/>
      </c>
      <c r="Z49">
        <f>I49</f>
        <v/>
      </c>
    </row>
    <row r="50">
      <c r="H50">
        <f>IF(F50="✅ Executado", 10, IF(F50="🟡 Parcial", 5, 0))</f>
        <v/>
      </c>
      <c r="I50">
        <f>IFERROR(VLOOKUP(TRIM(E50),Objetivos!$A$2:$C$200,2,FALSE)&amp;"_"&amp;RIGHT(E50,2),"")</f>
        <v/>
      </c>
      <c r="Z50">
        <f>I50</f>
        <v/>
      </c>
    </row>
    <row r="51">
      <c r="H51">
        <f>IF(F51="✅ Executado", 10, IF(F51="🟡 Parcial", 5, 0))</f>
        <v/>
      </c>
      <c r="I51">
        <f>IFERROR(VLOOKUP(TRIM(E51),Objetivos!$A$2:$C$200,2,FALSE)&amp;"_"&amp;RIGHT(E51,2),"")</f>
        <v/>
      </c>
      <c r="Z51">
        <f>I51</f>
        <v/>
      </c>
    </row>
    <row r="52">
      <c r="H52">
        <f>IF(F52="✅ Executado", 10, IF(F52="🟡 Parcial", 5, 0))</f>
        <v/>
      </c>
      <c r="I52">
        <f>IFERROR(VLOOKUP(TRIM(E52),Objetivos!$A$2:$C$200,2,FALSE)&amp;"_"&amp;RIGHT(E52,2),"")</f>
        <v/>
      </c>
      <c r="Z52">
        <f>I52</f>
        <v/>
      </c>
    </row>
    <row r="53">
      <c r="H53">
        <f>IF(F53="✅ Executado", 10, IF(F53="🟡 Parcial", 5, 0))</f>
        <v/>
      </c>
      <c r="I53">
        <f>IFERROR(VLOOKUP(TRIM(E53),Objetivos!$A$2:$C$200,2,FALSE)&amp;"_"&amp;RIGHT(E53,2),"")</f>
        <v/>
      </c>
      <c r="Z53">
        <f>I53</f>
        <v/>
      </c>
    </row>
    <row r="54">
      <c r="H54">
        <f>IF(F54="✅ Executado", 10, IF(F54="🟡 Parcial", 5, 0))</f>
        <v/>
      </c>
      <c r="I54">
        <f>IFERROR(VLOOKUP(TRIM(E54),Objetivos!$A$2:$C$200,2,FALSE)&amp;"_"&amp;RIGHT(E54,2),"")</f>
        <v/>
      </c>
      <c r="Z54">
        <f>I54</f>
        <v/>
      </c>
    </row>
    <row r="55">
      <c r="H55">
        <f>IF(F55="✅ Executado", 10, IF(F55="🟡 Parcial", 5, 0))</f>
        <v/>
      </c>
      <c r="I55">
        <f>IFERROR(VLOOKUP(TRIM(E55),Objetivos!$A$2:$C$200,2,FALSE)&amp;"_"&amp;RIGHT(E55,2),"")</f>
        <v/>
      </c>
      <c r="Z55">
        <f>I55</f>
        <v/>
      </c>
    </row>
    <row r="56">
      <c r="H56">
        <f>IF(F56="✅ Executado", 10, IF(F56="🟡 Parcial", 5, 0))</f>
        <v/>
      </c>
      <c r="I56">
        <f>IFERROR(VLOOKUP(TRIM(E56),Objetivos!$A$2:$C$200,2,FALSE)&amp;"_"&amp;RIGHT(E56,2),"")</f>
        <v/>
      </c>
      <c r="Z56">
        <f>I56</f>
        <v/>
      </c>
    </row>
    <row r="57">
      <c r="H57">
        <f>IF(F57="✅ Executado", 10, IF(F57="🟡 Parcial", 5, 0))</f>
        <v/>
      </c>
      <c r="I57">
        <f>IFERROR(VLOOKUP(TRIM(E57),Objetivos!$A$2:$C$200,2,FALSE)&amp;"_"&amp;RIGHT(E57,2),"")</f>
        <v/>
      </c>
      <c r="Z57">
        <f>I57</f>
        <v/>
      </c>
    </row>
    <row r="58">
      <c r="H58">
        <f>IF(F58="✅ Executado", 10, IF(F58="🟡 Parcial", 5, 0))</f>
        <v/>
      </c>
      <c r="I58">
        <f>IFERROR(VLOOKUP(TRIM(E58),Objetivos!$A$2:$C$200,2,FALSE)&amp;"_"&amp;RIGHT(E58,2),"")</f>
        <v/>
      </c>
      <c r="Z58">
        <f>I58</f>
        <v/>
      </c>
    </row>
    <row r="59">
      <c r="H59">
        <f>IF(F59="✅ Executado", 10, IF(F59="🟡 Parcial", 5, 0))</f>
        <v/>
      </c>
      <c r="I59">
        <f>IFERROR(VLOOKUP(TRIM(E59),Objetivos!$A$2:$C$200,2,FALSE)&amp;"_"&amp;RIGHT(E59,2),"")</f>
        <v/>
      </c>
      <c r="Z59">
        <f>I59</f>
        <v/>
      </c>
    </row>
    <row r="60">
      <c r="H60">
        <f>IF(F60="✅ Executado", 10, IF(F60="🟡 Parcial", 5, 0))</f>
        <v/>
      </c>
      <c r="I60">
        <f>IFERROR(VLOOKUP(TRIM(E60),Objetivos!$A$2:$C$200,2,FALSE)&amp;"_"&amp;RIGHT(E60,2),"")</f>
        <v/>
      </c>
      <c r="Z60">
        <f>I60</f>
        <v/>
      </c>
    </row>
    <row r="61">
      <c r="H61">
        <f>IF(F61="✅ Executado", 10, IF(F61="🟡 Parcial", 5, 0))</f>
        <v/>
      </c>
      <c r="I61">
        <f>IFERROR(VLOOKUP(TRIM(E61),Objetivos!$A$2:$C$200,2,FALSE)&amp;"_"&amp;RIGHT(E61,2),"")</f>
        <v/>
      </c>
      <c r="Z61">
        <f>I61</f>
        <v/>
      </c>
    </row>
    <row r="62">
      <c r="H62">
        <f>IF(F62="✅ Executado", 10, IF(F62="🟡 Parcial", 5, 0))</f>
        <v/>
      </c>
      <c r="I62">
        <f>IFERROR(VLOOKUP(TRIM(E62),Objetivos!$A$2:$C$200,2,FALSE)&amp;"_"&amp;RIGHT(E62,2),"")</f>
        <v/>
      </c>
      <c r="Z62">
        <f>I62</f>
        <v/>
      </c>
    </row>
    <row r="63">
      <c r="H63">
        <f>IF(F63="✅ Executado", 10, IF(F63="🟡 Parcial", 5, 0))</f>
        <v/>
      </c>
      <c r="I63">
        <f>IFERROR(VLOOKUP(TRIM(E63),Objetivos!$A$2:$C$200,2,FALSE)&amp;"_"&amp;RIGHT(E63,2),"")</f>
        <v/>
      </c>
      <c r="Z63">
        <f>I63</f>
        <v/>
      </c>
    </row>
    <row r="64">
      <c r="H64">
        <f>IF(F64="✅ Executado", 10, IF(F64="🟡 Parcial", 5, 0))</f>
        <v/>
      </c>
      <c r="I64">
        <f>IFERROR(VLOOKUP(TRIM(E64),Objetivos!$A$2:$C$200,2,FALSE)&amp;"_"&amp;RIGHT(E64,2),"")</f>
        <v/>
      </c>
      <c r="Z64">
        <f>I64</f>
        <v/>
      </c>
    </row>
    <row r="65">
      <c r="H65">
        <f>IF(F65="✅ Executado", 10, IF(F65="🟡 Parcial", 5, 0))</f>
        <v/>
      </c>
      <c r="I65">
        <f>IFERROR(VLOOKUP(TRIM(E65),Objetivos!$A$2:$C$200,2,FALSE)&amp;"_"&amp;RIGHT(E65,2),"")</f>
        <v/>
      </c>
      <c r="Z65">
        <f>I65</f>
        <v/>
      </c>
    </row>
    <row r="66">
      <c r="H66">
        <f>IF(F66="✅ Executado", 10, IF(F66="🟡 Parcial", 5, 0))</f>
        <v/>
      </c>
      <c r="I66">
        <f>IFERROR(VLOOKUP(TRIM(E66),Objetivos!$A$2:$C$200,2,FALSE)&amp;"_"&amp;RIGHT(E66,2),"")</f>
        <v/>
      </c>
      <c r="Z66">
        <f>I66</f>
        <v/>
      </c>
    </row>
    <row r="67">
      <c r="H67">
        <f>IF(F67="✅ Executado", 10, IF(F67="🟡 Parcial", 5, 0))</f>
        <v/>
      </c>
      <c r="I67">
        <f>IFERROR(VLOOKUP(TRIM(E67),Objetivos!$A$2:$C$200,2,FALSE)&amp;"_"&amp;RIGHT(E67,2),"")</f>
        <v/>
      </c>
      <c r="Z67">
        <f>I67</f>
        <v/>
      </c>
    </row>
    <row r="68">
      <c r="H68">
        <f>IF(F68="✅ Executado", 10, IF(F68="🟡 Parcial", 5, 0))</f>
        <v/>
      </c>
      <c r="I68">
        <f>IFERROR(VLOOKUP(TRIM(E68),Objetivos!$A$2:$C$200,2,FALSE)&amp;"_"&amp;RIGHT(E68,2),"")</f>
        <v/>
      </c>
      <c r="Z68">
        <f>I68</f>
        <v/>
      </c>
    </row>
    <row r="69">
      <c r="H69">
        <f>IF(F69="✅ Executado", 10, IF(F69="🟡 Parcial", 5, 0))</f>
        <v/>
      </c>
      <c r="I69">
        <f>IFERROR(VLOOKUP(TRIM(E69),Objetivos!$A$2:$C$200,2,FALSE)&amp;"_"&amp;RIGHT(E69,2),"")</f>
        <v/>
      </c>
      <c r="Z69">
        <f>I69</f>
        <v/>
      </c>
    </row>
    <row r="70">
      <c r="H70">
        <f>IF(F70="✅ Executado", 10, IF(F70="🟡 Parcial", 5, 0))</f>
        <v/>
      </c>
      <c r="I70">
        <f>IFERROR(VLOOKUP(TRIM(E70),Objetivos!$A$2:$C$200,2,FALSE)&amp;"_"&amp;RIGHT(E70,2),"")</f>
        <v/>
      </c>
      <c r="Z70">
        <f>I70</f>
        <v/>
      </c>
    </row>
    <row r="71">
      <c r="H71">
        <f>IF(F71="✅ Executado", 10, IF(F71="🟡 Parcial", 5, 0))</f>
        <v/>
      </c>
      <c r="I71">
        <f>IFERROR(VLOOKUP(TRIM(E71),Objetivos!$A$2:$C$200,2,FALSE)&amp;"_"&amp;RIGHT(E71,2),"")</f>
        <v/>
      </c>
      <c r="Z71">
        <f>I71</f>
        <v/>
      </c>
    </row>
    <row r="72">
      <c r="H72">
        <f>IF(F72="✅ Executado", 10, IF(F72="🟡 Parcial", 5, 0))</f>
        <v/>
      </c>
      <c r="I72">
        <f>IFERROR(VLOOKUP(TRIM(E72),Objetivos!$A$2:$C$200,2,FALSE)&amp;"_"&amp;RIGHT(E72,2),"")</f>
        <v/>
      </c>
      <c r="Z72">
        <f>I72</f>
        <v/>
      </c>
    </row>
    <row r="73">
      <c r="H73">
        <f>IF(F73="✅ Executado", 10, IF(F73="🟡 Parcial", 5, 0))</f>
        <v/>
      </c>
      <c r="I73">
        <f>IFERROR(VLOOKUP(TRIM(E73),Objetivos!$A$2:$C$200,2,FALSE)&amp;"_"&amp;RIGHT(E73,2),"")</f>
        <v/>
      </c>
      <c r="Z73">
        <f>I73</f>
        <v/>
      </c>
    </row>
    <row r="74">
      <c r="H74">
        <f>IF(F74="✅ Executado", 10, IF(F74="🟡 Parcial", 5, 0))</f>
        <v/>
      </c>
      <c r="I74">
        <f>IFERROR(VLOOKUP(TRIM(E74),Objetivos!$A$2:$C$200,2,FALSE)&amp;"_"&amp;RIGHT(E74,2),"")</f>
        <v/>
      </c>
      <c r="Z74">
        <f>I74</f>
        <v/>
      </c>
    </row>
    <row r="75">
      <c r="H75">
        <f>IF(F75="✅ Executado", 10, IF(F75="🟡 Parcial", 5, 0))</f>
        <v/>
      </c>
      <c r="I75">
        <f>IFERROR(VLOOKUP(TRIM(E75),Objetivos!$A$2:$C$200,2,FALSE)&amp;"_"&amp;RIGHT(E75,2),"")</f>
        <v/>
      </c>
      <c r="Z75">
        <f>I75</f>
        <v/>
      </c>
    </row>
    <row r="76">
      <c r="H76">
        <f>IF(F76="✅ Executado", 10, IF(F76="🟡 Parcial", 5, 0))</f>
        <v/>
      </c>
      <c r="I76">
        <f>IFERROR(VLOOKUP(TRIM(E76),Objetivos!$A$2:$C$200,2,FALSE)&amp;"_"&amp;RIGHT(E76,2),"")</f>
        <v/>
      </c>
      <c r="Z76">
        <f>I76</f>
        <v/>
      </c>
    </row>
    <row r="77">
      <c r="H77">
        <f>IF(F77="✅ Executado", 10, IF(F77="🟡 Parcial", 5, 0))</f>
        <v/>
      </c>
      <c r="I77">
        <f>IFERROR(VLOOKUP(TRIM(E77),Objetivos!$A$2:$C$200,2,FALSE)&amp;"_"&amp;RIGHT(E77,2),"")</f>
        <v/>
      </c>
      <c r="Z77">
        <f>I77</f>
        <v/>
      </c>
    </row>
    <row r="78">
      <c r="H78">
        <f>IF(F78="✅ Executado", 10, IF(F78="🟡 Parcial", 5, 0))</f>
        <v/>
      </c>
      <c r="I78">
        <f>IFERROR(VLOOKUP(TRIM(E78),Objetivos!$A$2:$C$200,2,FALSE)&amp;"_"&amp;RIGHT(E78,2),"")</f>
        <v/>
      </c>
      <c r="Z78">
        <f>I78</f>
        <v/>
      </c>
    </row>
    <row r="79">
      <c r="H79">
        <f>IF(F79="✅ Executado", 10, IF(F79="🟡 Parcial", 5, 0))</f>
        <v/>
      </c>
      <c r="I79">
        <f>IFERROR(VLOOKUP(TRIM(E79),Objetivos!$A$2:$C$200,2,FALSE)&amp;"_"&amp;RIGHT(E79,2),"")</f>
        <v/>
      </c>
      <c r="Z79">
        <f>I79</f>
        <v/>
      </c>
    </row>
    <row r="80">
      <c r="H80">
        <f>IF(F80="✅ Executado", 10, IF(F80="🟡 Parcial", 5, 0))</f>
        <v/>
      </c>
      <c r="I80">
        <f>IFERROR(VLOOKUP(TRIM(E80),Objetivos!$A$2:$C$200,2,FALSE)&amp;"_"&amp;RIGHT(E80,2),"")</f>
        <v/>
      </c>
      <c r="Z80">
        <f>I80</f>
        <v/>
      </c>
    </row>
    <row r="81">
      <c r="H81">
        <f>IF(F81="✅ Executado", 10, IF(F81="🟡 Parcial", 5, 0))</f>
        <v/>
      </c>
      <c r="I81">
        <f>IFERROR(VLOOKUP(TRIM(E81),Objetivos!$A$2:$C$200,2,FALSE)&amp;"_"&amp;RIGHT(E81,2),"")</f>
        <v/>
      </c>
      <c r="Z81">
        <f>I81</f>
        <v/>
      </c>
    </row>
    <row r="82">
      <c r="H82">
        <f>IF(F82="✅ Executado", 10, IF(F82="🟡 Parcial", 5, 0))</f>
        <v/>
      </c>
      <c r="I82">
        <f>IFERROR(VLOOKUP(TRIM(E82),Objetivos!$A$2:$C$200,2,FALSE)&amp;"_"&amp;RIGHT(E82,2),"")</f>
        <v/>
      </c>
      <c r="Z82">
        <f>I82</f>
        <v/>
      </c>
    </row>
    <row r="83">
      <c r="H83">
        <f>IF(F83="✅ Executado", 10, IF(F83="🟡 Parcial", 5, 0))</f>
        <v/>
      </c>
      <c r="I83">
        <f>IFERROR(VLOOKUP(TRIM(E83),Objetivos!$A$2:$C$200,2,FALSE)&amp;"_"&amp;RIGHT(E83,2),"")</f>
        <v/>
      </c>
      <c r="Z83">
        <f>I83</f>
        <v/>
      </c>
    </row>
    <row r="84">
      <c r="H84">
        <f>IF(F84="✅ Executado", 10, IF(F84="🟡 Parcial", 5, 0))</f>
        <v/>
      </c>
      <c r="I84">
        <f>IFERROR(VLOOKUP(TRIM(E84),Objetivos!$A$2:$C$200,2,FALSE)&amp;"_"&amp;RIGHT(E84,2),"")</f>
        <v/>
      </c>
      <c r="Z84">
        <f>I84</f>
        <v/>
      </c>
    </row>
    <row r="85">
      <c r="H85">
        <f>IF(F85="✅ Executado", 10, IF(F85="🟡 Parcial", 5, 0))</f>
        <v/>
      </c>
      <c r="I85">
        <f>IFERROR(VLOOKUP(TRIM(E85),Objetivos!$A$2:$C$200,2,FALSE)&amp;"_"&amp;RIGHT(E85,2),"")</f>
        <v/>
      </c>
      <c r="Z85">
        <f>I85</f>
        <v/>
      </c>
    </row>
    <row r="86">
      <c r="H86">
        <f>IF(F86="✅ Executado", 10, IF(F86="🟡 Parcial", 5, 0))</f>
        <v/>
      </c>
      <c r="I86">
        <f>IFERROR(VLOOKUP(TRIM(E86),Objetivos!$A$2:$C$200,2,FALSE)&amp;"_"&amp;RIGHT(E86,2),"")</f>
        <v/>
      </c>
      <c r="Z86">
        <f>I86</f>
        <v/>
      </c>
    </row>
    <row r="87">
      <c r="H87">
        <f>IF(F87="✅ Executado", 10, IF(F87="🟡 Parcial", 5, 0))</f>
        <v/>
      </c>
      <c r="I87">
        <f>IFERROR(VLOOKUP(TRIM(E87),Objetivos!$A$2:$C$200,2,FALSE)&amp;"_"&amp;RIGHT(E87,2),"")</f>
        <v/>
      </c>
      <c r="Z87">
        <f>I87</f>
        <v/>
      </c>
    </row>
    <row r="88">
      <c r="H88">
        <f>IF(F88="✅ Executado", 10, IF(F88="🟡 Parcial", 5, 0))</f>
        <v/>
      </c>
      <c r="I88">
        <f>IFERROR(VLOOKUP(TRIM(E88),Objetivos!$A$2:$C$200,2,FALSE)&amp;"_"&amp;RIGHT(E88,2),"")</f>
        <v/>
      </c>
      <c r="Z88">
        <f>I88</f>
        <v/>
      </c>
    </row>
    <row r="89">
      <c r="H89">
        <f>IF(F89="✅ Executado", 10, IF(F89="🟡 Parcial", 5, 0))</f>
        <v/>
      </c>
      <c r="I89">
        <f>IFERROR(VLOOKUP(TRIM(E89),Objetivos!$A$2:$C$200,2,FALSE)&amp;"_"&amp;RIGHT(E89,2),"")</f>
        <v/>
      </c>
      <c r="Z89">
        <f>I89</f>
        <v/>
      </c>
    </row>
    <row r="90">
      <c r="H90">
        <f>IF(F90="✅ Executado", 10, IF(F90="🟡 Parcial", 5, 0))</f>
        <v/>
      </c>
      <c r="I90">
        <f>IFERROR(VLOOKUP(TRIM(E90),Objetivos!$A$2:$C$200,2,FALSE)&amp;"_"&amp;RIGHT(E90,2),"")</f>
        <v/>
      </c>
      <c r="Z90">
        <f>I90</f>
        <v/>
      </c>
    </row>
    <row r="91">
      <c r="H91">
        <f>IF(F91="✅ Executado", 10, IF(F91="🟡 Parcial", 5, 0))</f>
        <v/>
      </c>
      <c r="I91">
        <f>IFERROR(VLOOKUP(TRIM(E91),Objetivos!$A$2:$C$200,2,FALSE)&amp;"_"&amp;RIGHT(E91,2),"")</f>
        <v/>
      </c>
      <c r="Z91">
        <f>I91</f>
        <v/>
      </c>
    </row>
    <row r="92">
      <c r="H92">
        <f>IF(F92="✅ Executado", 10, IF(F92="🟡 Parcial", 5, 0))</f>
        <v/>
      </c>
      <c r="I92">
        <f>IFERROR(VLOOKUP(TRIM(E92),Objetivos!$A$2:$C$200,2,FALSE)&amp;"_"&amp;RIGHT(E92,2),"")</f>
        <v/>
      </c>
      <c r="Z92">
        <f>I92</f>
        <v/>
      </c>
    </row>
    <row r="93">
      <c r="H93">
        <f>IF(F93="✅ Executado", 10, IF(F93="🟡 Parcial", 5, 0))</f>
        <v/>
      </c>
      <c r="I93">
        <f>IFERROR(VLOOKUP(TRIM(E93),Objetivos!$A$2:$C$200,2,FALSE)&amp;"_"&amp;RIGHT(E93,2),"")</f>
        <v/>
      </c>
      <c r="Z93">
        <f>I93</f>
        <v/>
      </c>
    </row>
    <row r="94">
      <c r="H94">
        <f>IF(F94="✅ Executado", 10, IF(F94="🟡 Parcial", 5, 0))</f>
        <v/>
      </c>
      <c r="I94">
        <f>IFERROR(VLOOKUP(TRIM(E94),Objetivos!$A$2:$C$200,2,FALSE)&amp;"_"&amp;RIGHT(E94,2),"")</f>
        <v/>
      </c>
      <c r="Z94">
        <f>I94</f>
        <v/>
      </c>
    </row>
    <row r="95">
      <c r="H95">
        <f>IF(F95="✅ Executado", 10, IF(F95="🟡 Parcial", 5, 0))</f>
        <v/>
      </c>
      <c r="I95">
        <f>IFERROR(VLOOKUP(TRIM(E95),Objetivos!$A$2:$C$200,2,FALSE)&amp;"_"&amp;RIGHT(E95,2),"")</f>
        <v/>
      </c>
      <c r="Z95">
        <f>I95</f>
        <v/>
      </c>
    </row>
    <row r="96">
      <c r="H96">
        <f>IF(F96="✅ Executado", 10, IF(F96="🟡 Parcial", 5, 0))</f>
        <v/>
      </c>
      <c r="I96">
        <f>IFERROR(VLOOKUP(TRIM(E96),Objetivos!$A$2:$C$200,2,FALSE)&amp;"_"&amp;RIGHT(E96,2),"")</f>
        <v/>
      </c>
      <c r="Z96">
        <f>I96</f>
        <v/>
      </c>
    </row>
    <row r="97">
      <c r="H97">
        <f>IF(F97="✅ Executado", 10, IF(F97="🟡 Parcial", 5, 0))</f>
        <v/>
      </c>
      <c r="I97">
        <f>IFERROR(VLOOKUP(TRIM(E97),Objetivos!$A$2:$C$200,2,FALSE)&amp;"_"&amp;RIGHT(E97,2),"")</f>
        <v/>
      </c>
      <c r="Z97">
        <f>I97</f>
        <v/>
      </c>
    </row>
    <row r="98">
      <c r="H98">
        <f>IF(F98="✅ Executado", 10, IF(F98="🟡 Parcial", 5, 0))</f>
        <v/>
      </c>
      <c r="I98">
        <f>IFERROR(VLOOKUP(TRIM(E98),Objetivos!$A$2:$C$200,2,FALSE)&amp;"_"&amp;RIGHT(E98,2),"")</f>
        <v/>
      </c>
      <c r="Z98">
        <f>I98</f>
        <v/>
      </c>
    </row>
    <row r="99">
      <c r="H99">
        <f>IF(F99="✅ Executado", 10, IF(F99="🟡 Parcial", 5, 0))</f>
        <v/>
      </c>
      <c r="I99">
        <f>IFERROR(VLOOKUP(TRIM(E99),Objetivos!$A$2:$C$200,2,FALSE)&amp;"_"&amp;RIGHT(E99,2),"")</f>
        <v/>
      </c>
      <c r="Z99">
        <f>I99</f>
        <v/>
      </c>
    </row>
    <row r="100">
      <c r="H100">
        <f>IF(F100="✅ Executado", 10, IF(F100="🟡 Parcial", 5, 0))</f>
        <v/>
      </c>
      <c r="I100">
        <f>IFERROR(VLOOKUP(TRIM(E100),Objetivos!$A$2:$C$200,2,FALSE)&amp;"_"&amp;RIGHT(E100,2),"")</f>
        <v/>
      </c>
      <c r="Z100">
        <f>I100</f>
        <v/>
      </c>
    </row>
    <row r="101">
      <c r="H101">
        <f>IF(F101="✅ Executado", 10, IF(F101="🟡 Parcial", 5, 0))</f>
        <v/>
      </c>
      <c r="I101">
        <f>IFERROR(VLOOKUP(TRIM(E101),Objetivos!$A$2:$C$200,2,FALSE)&amp;"_"&amp;RIGHT(E101,2),"")</f>
        <v/>
      </c>
      <c r="Z101">
        <f>I101</f>
        <v/>
      </c>
    </row>
    <row r="102">
      <c r="H102">
        <f>IF(F102="✅ Executado", 10, IF(F102="🟡 Parcial", 5, 0))</f>
        <v/>
      </c>
      <c r="I102">
        <f>IFERROR(VLOOKUP(TRIM(E102),Objetivos!$A$2:$C$200,2,FALSE)&amp;"_"&amp;RIGHT(E102,2),"")</f>
        <v/>
      </c>
      <c r="Z102">
        <f>I102</f>
        <v/>
      </c>
    </row>
    <row r="103">
      <c r="H103">
        <f>IF(F103="✅ Executado", 10, IF(F103="🟡 Parcial", 5, 0))</f>
        <v/>
      </c>
      <c r="I103">
        <f>IFERROR(VLOOKUP(TRIM(E103),Objetivos!$A$2:$C$200,2,FALSE)&amp;"_"&amp;RIGHT(E103,2),"")</f>
        <v/>
      </c>
      <c r="Z103">
        <f>I103</f>
        <v/>
      </c>
    </row>
    <row r="104">
      <c r="H104">
        <f>IF(F104="✅ Executado", 10, IF(F104="🟡 Parcial", 5, 0))</f>
        <v/>
      </c>
      <c r="I104">
        <f>IFERROR(VLOOKUP(TRIM(E104),Objetivos!$A$2:$C$200,2,FALSE)&amp;"_"&amp;RIGHT(E104,2),"")</f>
        <v/>
      </c>
      <c r="Z104">
        <f>I104</f>
        <v/>
      </c>
    </row>
    <row r="105">
      <c r="H105">
        <f>IF(F105="✅ Executado", 10, IF(F105="🟡 Parcial", 5, 0))</f>
        <v/>
      </c>
      <c r="I105">
        <f>IFERROR(VLOOKUP(TRIM(E105),Objetivos!$A$2:$C$200,2,FALSE)&amp;"_"&amp;RIGHT(E105,2),"")</f>
        <v/>
      </c>
      <c r="Z105">
        <f>I105</f>
        <v/>
      </c>
    </row>
    <row r="106">
      <c r="H106">
        <f>IF(F106="✅ Executado", 10, IF(F106="🟡 Parcial", 5, 0))</f>
        <v/>
      </c>
      <c r="I106">
        <f>IFERROR(VLOOKUP(TRIM(E106),Objetivos!$A$2:$C$200,2,FALSE)&amp;"_"&amp;RIGHT(E106,2),"")</f>
        <v/>
      </c>
      <c r="Z106">
        <f>I106</f>
        <v/>
      </c>
    </row>
    <row r="107">
      <c r="H107">
        <f>IF(F107="✅ Executado", 10, IF(F107="🟡 Parcial", 5, 0))</f>
        <v/>
      </c>
      <c r="I107">
        <f>IFERROR(VLOOKUP(TRIM(E107),Objetivos!$A$2:$C$200,2,FALSE)&amp;"_"&amp;RIGHT(E107,2),"")</f>
        <v/>
      </c>
      <c r="Z107">
        <f>I107</f>
        <v/>
      </c>
    </row>
    <row r="108">
      <c r="H108">
        <f>IF(F108="✅ Executado", 10, IF(F108="🟡 Parcial", 5, 0))</f>
        <v/>
      </c>
      <c r="I108">
        <f>IFERROR(VLOOKUP(TRIM(E108),Objetivos!$A$2:$C$200,2,FALSE)&amp;"_"&amp;RIGHT(E108,2),"")</f>
        <v/>
      </c>
      <c r="Z108">
        <f>I108</f>
        <v/>
      </c>
    </row>
    <row r="109">
      <c r="H109">
        <f>IF(F109="✅ Executado", 10, IF(F109="🟡 Parcial", 5, 0))</f>
        <v/>
      </c>
      <c r="I109">
        <f>IFERROR(VLOOKUP(TRIM(E109),Objetivos!$A$2:$C$200,2,FALSE)&amp;"_"&amp;RIGHT(E109,2),"")</f>
        <v/>
      </c>
      <c r="Z109">
        <f>I109</f>
        <v/>
      </c>
    </row>
    <row r="110">
      <c r="H110">
        <f>IF(F110="✅ Executado", 10, IF(F110="🟡 Parcial", 5, 0))</f>
        <v/>
      </c>
      <c r="I110">
        <f>IFERROR(VLOOKUP(TRIM(E110),Objetivos!$A$2:$C$200,2,FALSE)&amp;"_"&amp;RIGHT(E110,2),"")</f>
        <v/>
      </c>
      <c r="Z110">
        <f>I110</f>
        <v/>
      </c>
    </row>
    <row r="111">
      <c r="H111">
        <f>IF(F111="✅ Executado", 10, IF(F111="🟡 Parcial", 5, 0))</f>
        <v/>
      </c>
      <c r="I111">
        <f>IFERROR(VLOOKUP(TRIM(E111),Objetivos!$A$2:$C$200,2,FALSE)&amp;"_"&amp;RIGHT(E111,2),"")</f>
        <v/>
      </c>
      <c r="Z111">
        <f>I111</f>
        <v/>
      </c>
    </row>
    <row r="112">
      <c r="H112">
        <f>IF(F112="✅ Executado", 10, IF(F112="🟡 Parcial", 5, 0))</f>
        <v/>
      </c>
      <c r="I112">
        <f>IFERROR(VLOOKUP(TRIM(E112),Objetivos!$A$2:$C$200,2,FALSE)&amp;"_"&amp;RIGHT(E112,2),"")</f>
        <v/>
      </c>
      <c r="Z112">
        <f>I112</f>
        <v/>
      </c>
    </row>
    <row r="113">
      <c r="H113">
        <f>IF(F113="✅ Executado", 10, IF(F113="🟡 Parcial", 5, 0))</f>
        <v/>
      </c>
      <c r="I113">
        <f>IFERROR(VLOOKUP(TRIM(E113),Objetivos!$A$2:$C$200,2,FALSE)&amp;"_"&amp;RIGHT(E113,2),"")</f>
        <v/>
      </c>
      <c r="Z113">
        <f>I113</f>
        <v/>
      </c>
    </row>
    <row r="114">
      <c r="H114">
        <f>IF(F114="✅ Executado", 10, IF(F114="🟡 Parcial", 5, 0))</f>
        <v/>
      </c>
      <c r="I114">
        <f>IFERROR(VLOOKUP(TRIM(E114),Objetivos!$A$2:$C$200,2,FALSE)&amp;"_"&amp;RIGHT(E114,2),"")</f>
        <v/>
      </c>
      <c r="Z114">
        <f>I114</f>
        <v/>
      </c>
    </row>
    <row r="115">
      <c r="H115">
        <f>IF(F115="✅ Executado", 10, IF(F115="🟡 Parcial", 5, 0))</f>
        <v/>
      </c>
      <c r="I115">
        <f>IFERROR(VLOOKUP(TRIM(E115),Objetivos!$A$2:$C$200,2,FALSE)&amp;"_"&amp;RIGHT(E115,2),"")</f>
        <v/>
      </c>
      <c r="Z115">
        <f>I115</f>
        <v/>
      </c>
    </row>
    <row r="116">
      <c r="H116">
        <f>IF(F116="✅ Executado", 10, IF(F116="🟡 Parcial", 5, 0))</f>
        <v/>
      </c>
      <c r="I116">
        <f>IFERROR(VLOOKUP(TRIM(E116),Objetivos!$A$2:$C$200,2,FALSE)&amp;"_"&amp;RIGHT(E116,2),"")</f>
        <v/>
      </c>
      <c r="Z116">
        <f>I116</f>
        <v/>
      </c>
    </row>
    <row r="117">
      <c r="H117">
        <f>IF(F117="✅ Executado", 10, IF(F117="🟡 Parcial", 5, 0))</f>
        <v/>
      </c>
      <c r="I117">
        <f>IFERROR(VLOOKUP(TRIM(E117),Objetivos!$A$2:$C$200,2,FALSE)&amp;"_"&amp;RIGHT(E117,2),"")</f>
        <v/>
      </c>
      <c r="Z117">
        <f>I117</f>
        <v/>
      </c>
    </row>
    <row r="118">
      <c r="H118">
        <f>IF(F118="✅ Executado", 10, IF(F118="🟡 Parcial", 5, 0))</f>
        <v/>
      </c>
      <c r="I118">
        <f>IFERROR(VLOOKUP(TRIM(E118),Objetivos!$A$2:$C$200,2,FALSE)&amp;"_"&amp;RIGHT(E118,2),"")</f>
        <v/>
      </c>
      <c r="Z118">
        <f>I118</f>
        <v/>
      </c>
    </row>
    <row r="119">
      <c r="H119">
        <f>IF(F119="✅ Executado", 10, IF(F119="🟡 Parcial", 5, 0))</f>
        <v/>
      </c>
      <c r="I119">
        <f>IFERROR(VLOOKUP(TRIM(E119),Objetivos!$A$2:$C$200,2,FALSE)&amp;"_"&amp;RIGHT(E119,2),"")</f>
        <v/>
      </c>
      <c r="Z119">
        <f>I119</f>
        <v/>
      </c>
    </row>
    <row r="120">
      <c r="H120">
        <f>IF(F120="✅ Executado", 10, IF(F120="🟡 Parcial", 5, 0))</f>
        <v/>
      </c>
      <c r="I120">
        <f>IFERROR(VLOOKUP(TRIM(E120),Objetivos!$A$2:$C$200,2,FALSE)&amp;"_"&amp;RIGHT(E120,2),"")</f>
        <v/>
      </c>
      <c r="Z120">
        <f>I120</f>
        <v/>
      </c>
    </row>
    <row r="121">
      <c r="H121">
        <f>IF(F121="✅ Executado", 10, IF(F121="🟡 Parcial", 5, 0))</f>
        <v/>
      </c>
      <c r="I121">
        <f>IFERROR(VLOOKUP(TRIM(E121),Objetivos!$A$2:$C$200,2,FALSE)&amp;"_"&amp;RIGHT(E121,2),"")</f>
        <v/>
      </c>
      <c r="Z121">
        <f>I121</f>
        <v/>
      </c>
    </row>
    <row r="122">
      <c r="H122">
        <f>IF(F122="✅ Executado", 10, IF(F122="🟡 Parcial", 5, 0))</f>
        <v/>
      </c>
      <c r="I122">
        <f>IFERROR(VLOOKUP(TRIM(E122),Objetivos!$A$2:$C$200,2,FALSE)&amp;"_"&amp;RIGHT(E122,2),"")</f>
        <v/>
      </c>
      <c r="Z122">
        <f>I122</f>
        <v/>
      </c>
    </row>
    <row r="123">
      <c r="H123">
        <f>IF(F123="✅ Executado", 10, IF(F123="🟡 Parcial", 5, 0))</f>
        <v/>
      </c>
      <c r="I123">
        <f>IFERROR(VLOOKUP(TRIM(E123),Objetivos!$A$2:$C$200,2,FALSE)&amp;"_"&amp;RIGHT(E123,2),"")</f>
        <v/>
      </c>
      <c r="Z123">
        <f>I123</f>
        <v/>
      </c>
    </row>
    <row r="124">
      <c r="H124">
        <f>IF(F124="✅ Executado", 10, IF(F124="🟡 Parcial", 5, 0))</f>
        <v/>
      </c>
      <c r="I124">
        <f>IFERROR(VLOOKUP(TRIM(E124),Objetivos!$A$2:$C$200,2,FALSE)&amp;"_"&amp;RIGHT(E124,2),"")</f>
        <v/>
      </c>
      <c r="Z124">
        <f>I124</f>
        <v/>
      </c>
    </row>
    <row r="125">
      <c r="H125">
        <f>IF(F125="✅ Executado", 10, IF(F125="🟡 Parcial", 5, 0))</f>
        <v/>
      </c>
      <c r="I125">
        <f>IFERROR(VLOOKUP(TRIM(E125),Objetivos!$A$2:$C$200,2,FALSE)&amp;"_"&amp;RIGHT(E125,2),"")</f>
        <v/>
      </c>
      <c r="Z125">
        <f>I125</f>
        <v/>
      </c>
    </row>
    <row r="126">
      <c r="H126">
        <f>IF(F126="✅ Executado", 10, IF(F126="🟡 Parcial", 5, 0))</f>
        <v/>
      </c>
      <c r="I126">
        <f>IFERROR(VLOOKUP(TRIM(E126),Objetivos!$A$2:$C$200,2,FALSE)&amp;"_"&amp;RIGHT(E126,2),"")</f>
        <v/>
      </c>
      <c r="Z126">
        <f>I126</f>
        <v/>
      </c>
    </row>
    <row r="127">
      <c r="H127">
        <f>IF(F127="✅ Executado", 10, IF(F127="🟡 Parcial", 5, 0))</f>
        <v/>
      </c>
      <c r="I127">
        <f>IFERROR(VLOOKUP(TRIM(E127),Objetivos!$A$2:$C$200,2,FALSE)&amp;"_"&amp;RIGHT(E127,2),"")</f>
        <v/>
      </c>
      <c r="Z127">
        <f>I127</f>
        <v/>
      </c>
    </row>
    <row r="128">
      <c r="H128">
        <f>IF(F128="✅ Executado", 10, IF(F128="🟡 Parcial", 5, 0))</f>
        <v/>
      </c>
      <c r="I128">
        <f>IFERROR(VLOOKUP(TRIM(E128),Objetivos!$A$2:$C$200,2,FALSE)&amp;"_"&amp;RIGHT(E128,2),"")</f>
        <v/>
      </c>
      <c r="Z128">
        <f>I128</f>
        <v/>
      </c>
    </row>
    <row r="129">
      <c r="H129">
        <f>IF(F129="✅ Executado", 10, IF(F129="🟡 Parcial", 5, 0))</f>
        <v/>
      </c>
      <c r="I129">
        <f>IFERROR(VLOOKUP(TRIM(E129),Objetivos!$A$2:$C$200,2,FALSE)&amp;"_"&amp;RIGHT(E129,2),"")</f>
        <v/>
      </c>
      <c r="Z129">
        <f>I129</f>
        <v/>
      </c>
    </row>
    <row r="130">
      <c r="H130">
        <f>IF(F130="✅ Executado", 10, IF(F130="🟡 Parcial", 5, 0))</f>
        <v/>
      </c>
      <c r="I130">
        <f>IFERROR(VLOOKUP(TRIM(E130),Objetivos!$A$2:$C$200,2,FALSE)&amp;"_"&amp;RIGHT(E130,2),"")</f>
        <v/>
      </c>
      <c r="Z130">
        <f>I130</f>
        <v/>
      </c>
    </row>
    <row r="131">
      <c r="H131">
        <f>IF(F131="✅ Executado", 10, IF(F131="🟡 Parcial", 5, 0))</f>
        <v/>
      </c>
      <c r="I131">
        <f>IFERROR(VLOOKUP(TRIM(E131),Objetivos!$A$2:$C$200,2,FALSE)&amp;"_"&amp;RIGHT(E131,2),"")</f>
        <v/>
      </c>
      <c r="Z131">
        <f>I131</f>
        <v/>
      </c>
    </row>
    <row r="132">
      <c r="H132">
        <f>IF(F132="✅ Executado", 10, IF(F132="🟡 Parcial", 5, 0))</f>
        <v/>
      </c>
      <c r="I132">
        <f>IFERROR(VLOOKUP(TRIM(E132),Objetivos!$A$2:$C$200,2,FALSE)&amp;"_"&amp;RIGHT(E132,2),"")</f>
        <v/>
      </c>
      <c r="Z132">
        <f>I132</f>
        <v/>
      </c>
    </row>
    <row r="133">
      <c r="H133">
        <f>IF(F133="✅ Executado", 10, IF(F133="🟡 Parcial", 5, 0))</f>
        <v/>
      </c>
      <c r="I133">
        <f>IFERROR(VLOOKUP(TRIM(E133),Objetivos!$A$2:$C$200,2,FALSE)&amp;"_"&amp;RIGHT(E133,2),"")</f>
        <v/>
      </c>
      <c r="Z133">
        <f>I133</f>
        <v/>
      </c>
    </row>
    <row r="134">
      <c r="H134">
        <f>IF(F134="✅ Executado", 10, IF(F134="🟡 Parcial", 5, 0))</f>
        <v/>
      </c>
      <c r="I134">
        <f>IFERROR(VLOOKUP(TRIM(E134),Objetivos!$A$2:$C$200,2,FALSE)&amp;"_"&amp;RIGHT(E134,2),"")</f>
        <v/>
      </c>
      <c r="Z134">
        <f>I134</f>
        <v/>
      </c>
    </row>
    <row r="135">
      <c r="H135">
        <f>IF(F135="✅ Executado", 10, IF(F135="🟡 Parcial", 5, 0))</f>
        <v/>
      </c>
      <c r="I135">
        <f>IFERROR(VLOOKUP(TRIM(E135),Objetivos!$A$2:$C$200,2,FALSE)&amp;"_"&amp;RIGHT(E135,2),"")</f>
        <v/>
      </c>
      <c r="Z135">
        <f>I135</f>
        <v/>
      </c>
    </row>
    <row r="136">
      <c r="H136">
        <f>IF(F136="✅ Executado", 10, IF(F136="🟡 Parcial", 5, 0))</f>
        <v/>
      </c>
      <c r="I136">
        <f>IFERROR(VLOOKUP(TRIM(E136),Objetivos!$A$2:$C$200,2,FALSE)&amp;"_"&amp;RIGHT(E136,2),"")</f>
        <v/>
      </c>
      <c r="Z136">
        <f>I136</f>
        <v/>
      </c>
    </row>
    <row r="137">
      <c r="H137">
        <f>IF(F137="✅ Executado", 10, IF(F137="🟡 Parcial", 5, 0))</f>
        <v/>
      </c>
      <c r="I137">
        <f>IFERROR(VLOOKUP(TRIM(E137),Objetivos!$A$2:$C$200,2,FALSE)&amp;"_"&amp;RIGHT(E137,2),"")</f>
        <v/>
      </c>
      <c r="Z137">
        <f>I137</f>
        <v/>
      </c>
    </row>
    <row r="138">
      <c r="H138">
        <f>IF(F138="✅ Executado", 10, IF(F138="🟡 Parcial", 5, 0))</f>
        <v/>
      </c>
      <c r="I138">
        <f>IFERROR(VLOOKUP(TRIM(E138),Objetivos!$A$2:$C$200,2,FALSE)&amp;"_"&amp;RIGHT(E138,2),"")</f>
        <v/>
      </c>
      <c r="Z138">
        <f>I138</f>
        <v/>
      </c>
    </row>
    <row r="139">
      <c r="H139">
        <f>IF(F139="✅ Executado", 10, IF(F139="🟡 Parcial", 5, 0))</f>
        <v/>
      </c>
      <c r="I139">
        <f>IFERROR(VLOOKUP(TRIM(E139),Objetivos!$A$2:$C$200,2,FALSE)&amp;"_"&amp;RIGHT(E139,2),"")</f>
        <v/>
      </c>
      <c r="Z139">
        <f>I139</f>
        <v/>
      </c>
    </row>
    <row r="140">
      <c r="H140">
        <f>IF(F140="✅ Executado", 10, IF(F140="🟡 Parcial", 5, 0))</f>
        <v/>
      </c>
      <c r="I140">
        <f>IFERROR(VLOOKUP(TRIM(E140),Objetivos!$A$2:$C$200,2,FALSE)&amp;"_"&amp;RIGHT(E140,2),"")</f>
        <v/>
      </c>
      <c r="Z140">
        <f>I140</f>
        <v/>
      </c>
    </row>
    <row r="141">
      <c r="H141">
        <f>IF(F141="✅ Executado", 10, IF(F141="🟡 Parcial", 5, 0))</f>
        <v/>
      </c>
      <c r="I141">
        <f>IFERROR(VLOOKUP(TRIM(E141),Objetivos!$A$2:$C$200,2,FALSE)&amp;"_"&amp;RIGHT(E141,2),"")</f>
        <v/>
      </c>
      <c r="Z141">
        <f>I141</f>
        <v/>
      </c>
    </row>
    <row r="142">
      <c r="H142">
        <f>IF(F142="✅ Executado", 10, IF(F142="🟡 Parcial", 5, 0))</f>
        <v/>
      </c>
      <c r="I142">
        <f>IFERROR(VLOOKUP(TRIM(E142),Objetivos!$A$2:$C$200,2,FALSE)&amp;"_"&amp;RIGHT(E142,2),"")</f>
        <v/>
      </c>
      <c r="Z142">
        <f>I142</f>
        <v/>
      </c>
    </row>
    <row r="143">
      <c r="H143">
        <f>IF(F143="✅ Executado", 10, IF(F143="🟡 Parcial", 5, 0))</f>
        <v/>
      </c>
      <c r="I143">
        <f>IFERROR(VLOOKUP(TRIM(E143),Objetivos!$A$2:$C$200,2,FALSE)&amp;"_"&amp;RIGHT(E143,2),"")</f>
        <v/>
      </c>
      <c r="Z143">
        <f>I143</f>
        <v/>
      </c>
    </row>
    <row r="144">
      <c r="H144">
        <f>IF(F144="✅ Executado", 10, IF(F144="🟡 Parcial", 5, 0))</f>
        <v/>
      </c>
      <c r="I144">
        <f>IFERROR(VLOOKUP(TRIM(E144),Objetivos!$A$2:$C$200,2,FALSE)&amp;"_"&amp;RIGHT(E144,2),"")</f>
        <v/>
      </c>
      <c r="Z144">
        <f>I144</f>
        <v/>
      </c>
    </row>
    <row r="145">
      <c r="H145">
        <f>IF(F145="✅ Executado", 10, IF(F145="🟡 Parcial", 5, 0))</f>
        <v/>
      </c>
      <c r="I145">
        <f>IFERROR(VLOOKUP(TRIM(E145),Objetivos!$A$2:$C$200,2,FALSE)&amp;"_"&amp;RIGHT(E145,2),"")</f>
        <v/>
      </c>
      <c r="Z145">
        <f>I145</f>
        <v/>
      </c>
    </row>
    <row r="146">
      <c r="H146">
        <f>IF(F146="✅ Executado", 10, IF(F146="🟡 Parcial", 5, 0))</f>
        <v/>
      </c>
      <c r="I146">
        <f>IFERROR(VLOOKUP(TRIM(E146),Objetivos!$A$2:$C$200,2,FALSE)&amp;"_"&amp;RIGHT(E146,2),"")</f>
        <v/>
      </c>
      <c r="Z146">
        <f>I146</f>
        <v/>
      </c>
    </row>
    <row r="147">
      <c r="H147">
        <f>IF(F147="✅ Executado", 10, IF(F147="🟡 Parcial", 5, 0))</f>
        <v/>
      </c>
      <c r="I147">
        <f>IFERROR(VLOOKUP(TRIM(E147),Objetivos!$A$2:$C$200,2,FALSE)&amp;"_"&amp;RIGHT(E147,2),"")</f>
        <v/>
      </c>
      <c r="Z147">
        <f>I147</f>
        <v/>
      </c>
    </row>
    <row r="148">
      <c r="H148">
        <f>IF(F148="✅ Executado", 10, IF(F148="🟡 Parcial", 5, 0))</f>
        <v/>
      </c>
      <c r="I148">
        <f>IFERROR(VLOOKUP(TRIM(E148),Objetivos!$A$2:$C$200,2,FALSE)&amp;"_"&amp;RIGHT(E148,2),"")</f>
        <v/>
      </c>
      <c r="Z148">
        <f>I148</f>
        <v/>
      </c>
    </row>
    <row r="149">
      <c r="H149">
        <f>IF(F149="✅ Executado", 10, IF(F149="🟡 Parcial", 5, 0))</f>
        <v/>
      </c>
      <c r="I149">
        <f>IFERROR(VLOOKUP(TRIM(E149),Objetivos!$A$2:$C$200,2,FALSE)&amp;"_"&amp;RIGHT(E149,2),"")</f>
        <v/>
      </c>
      <c r="Z149">
        <f>I149</f>
        <v/>
      </c>
    </row>
    <row r="150">
      <c r="H150">
        <f>IF(F150="✅ Executado", 10, IF(F150="🟡 Parcial", 5, 0))</f>
        <v/>
      </c>
      <c r="I150">
        <f>IFERROR(VLOOKUP(TRIM(E150),Objetivos!$A$2:$C$200,2,FALSE)&amp;"_"&amp;RIGHT(E150,2),"")</f>
        <v/>
      </c>
      <c r="Z150">
        <f>I150</f>
        <v/>
      </c>
    </row>
    <row r="151">
      <c r="H151">
        <f>IF(F151="✅ Executado", 10, IF(F151="🟡 Parcial", 5, 0))</f>
        <v/>
      </c>
      <c r="I151">
        <f>IFERROR(VLOOKUP(TRIM(E151),Objetivos!$A$2:$C$200,2,FALSE)&amp;"_"&amp;RIGHT(E151,2),"")</f>
        <v/>
      </c>
      <c r="Z151">
        <f>I151</f>
        <v/>
      </c>
    </row>
    <row r="152">
      <c r="H152">
        <f>IF(F152="✅ Executado", 10, IF(F152="🟡 Parcial", 5, 0))</f>
        <v/>
      </c>
      <c r="I152">
        <f>IFERROR(VLOOKUP(TRIM(E152),Objetivos!$A$2:$C$200,2,FALSE)&amp;"_"&amp;RIGHT(E152,2),"")</f>
        <v/>
      </c>
      <c r="Z152">
        <f>I152</f>
        <v/>
      </c>
    </row>
    <row r="153">
      <c r="H153">
        <f>IF(F153="✅ Executado", 10, IF(F153="🟡 Parcial", 5, 0))</f>
        <v/>
      </c>
      <c r="I153">
        <f>IFERROR(VLOOKUP(TRIM(E153),Objetivos!$A$2:$C$200,2,FALSE)&amp;"_"&amp;RIGHT(E153,2),"")</f>
        <v/>
      </c>
      <c r="Z153">
        <f>I153</f>
        <v/>
      </c>
    </row>
    <row r="154">
      <c r="H154">
        <f>IF(F154="✅ Executado", 10, IF(F154="🟡 Parcial", 5, 0))</f>
        <v/>
      </c>
      <c r="I154">
        <f>IFERROR(VLOOKUP(TRIM(E154),Objetivos!$A$2:$C$200,2,FALSE)&amp;"_"&amp;RIGHT(E154,2),"")</f>
        <v/>
      </c>
      <c r="Z154">
        <f>I154</f>
        <v/>
      </c>
    </row>
    <row r="155">
      <c r="H155">
        <f>IF(F155="✅ Executado", 10, IF(F155="🟡 Parcial", 5, 0))</f>
        <v/>
      </c>
      <c r="I155">
        <f>IFERROR(VLOOKUP(TRIM(E155),Objetivos!$A$2:$C$200,2,FALSE)&amp;"_"&amp;RIGHT(E155,2),"")</f>
        <v/>
      </c>
      <c r="Z155">
        <f>I155</f>
        <v/>
      </c>
    </row>
    <row r="156">
      <c r="H156">
        <f>IF(F156="✅ Executado", 10, IF(F156="🟡 Parcial", 5, 0))</f>
        <v/>
      </c>
      <c r="I156">
        <f>IFERROR(VLOOKUP(TRIM(E156),Objetivos!$A$2:$C$200,2,FALSE)&amp;"_"&amp;RIGHT(E156,2),"")</f>
        <v/>
      </c>
      <c r="Z156">
        <f>I156</f>
        <v/>
      </c>
    </row>
    <row r="157">
      <c r="H157">
        <f>IF(F157="✅ Executado", 10, IF(F157="🟡 Parcial", 5, 0))</f>
        <v/>
      </c>
      <c r="I157">
        <f>IFERROR(VLOOKUP(TRIM(E157),Objetivos!$A$2:$C$200,2,FALSE)&amp;"_"&amp;RIGHT(E157,2),"")</f>
        <v/>
      </c>
      <c r="Z157">
        <f>I157</f>
        <v/>
      </c>
    </row>
    <row r="158">
      <c r="H158">
        <f>IF(F158="✅ Executado", 10, IF(F158="🟡 Parcial", 5, 0))</f>
        <v/>
      </c>
      <c r="I158">
        <f>IFERROR(VLOOKUP(TRIM(E158),Objetivos!$A$2:$C$200,2,FALSE)&amp;"_"&amp;RIGHT(E158,2),"")</f>
        <v/>
      </c>
      <c r="Z158">
        <f>I158</f>
        <v/>
      </c>
    </row>
    <row r="159">
      <c r="H159">
        <f>IF(F159="✅ Executado", 10, IF(F159="🟡 Parcial", 5, 0))</f>
        <v/>
      </c>
      <c r="I159">
        <f>IFERROR(VLOOKUP(TRIM(E159),Objetivos!$A$2:$C$200,2,FALSE)&amp;"_"&amp;RIGHT(E159,2),"")</f>
        <v/>
      </c>
      <c r="Z159">
        <f>I159</f>
        <v/>
      </c>
    </row>
    <row r="160">
      <c r="H160">
        <f>IF(F160="✅ Executado", 10, IF(F160="🟡 Parcial", 5, 0))</f>
        <v/>
      </c>
      <c r="I160">
        <f>IFERROR(VLOOKUP(TRIM(E160),Objetivos!$A$2:$C$200,2,FALSE)&amp;"_"&amp;RIGHT(E160,2),"")</f>
        <v/>
      </c>
      <c r="Z160">
        <f>I160</f>
        <v/>
      </c>
    </row>
    <row r="161">
      <c r="H161">
        <f>IF(F161="✅ Executado", 10, IF(F161="🟡 Parcial", 5, 0))</f>
        <v/>
      </c>
      <c r="I161">
        <f>IFERROR(VLOOKUP(TRIM(E161),Objetivos!$A$2:$C$200,2,FALSE)&amp;"_"&amp;RIGHT(E161,2),"")</f>
        <v/>
      </c>
      <c r="Z161">
        <f>I161</f>
        <v/>
      </c>
    </row>
    <row r="162">
      <c r="H162">
        <f>IF(F162="✅ Executado", 10, IF(F162="🟡 Parcial", 5, 0))</f>
        <v/>
      </c>
      <c r="I162">
        <f>IFERROR(VLOOKUP(TRIM(E162),Objetivos!$A$2:$C$200,2,FALSE)&amp;"_"&amp;RIGHT(E162,2),"")</f>
        <v/>
      </c>
      <c r="Z162">
        <f>I162</f>
        <v/>
      </c>
    </row>
    <row r="163">
      <c r="H163">
        <f>IF(F163="✅ Executado", 10, IF(F163="🟡 Parcial", 5, 0))</f>
        <v/>
      </c>
      <c r="I163">
        <f>IFERROR(VLOOKUP(TRIM(E163),Objetivos!$A$2:$C$200,2,FALSE)&amp;"_"&amp;RIGHT(E163,2),"")</f>
        <v/>
      </c>
      <c r="Z163">
        <f>I163</f>
        <v/>
      </c>
    </row>
    <row r="164">
      <c r="H164">
        <f>IF(F164="✅ Executado", 10, IF(F164="🟡 Parcial", 5, 0))</f>
        <v/>
      </c>
      <c r="I164">
        <f>IFERROR(VLOOKUP(TRIM(E164),Objetivos!$A$2:$C$200,2,FALSE)&amp;"_"&amp;RIGHT(E164,2),"")</f>
        <v/>
      </c>
      <c r="Z164">
        <f>I164</f>
        <v/>
      </c>
    </row>
    <row r="165">
      <c r="H165">
        <f>IF(F165="✅ Executado", 10, IF(F165="🟡 Parcial", 5, 0))</f>
        <v/>
      </c>
      <c r="I165">
        <f>IFERROR(VLOOKUP(TRIM(E165),Objetivos!$A$2:$C$200,2,FALSE)&amp;"_"&amp;RIGHT(E165,2),"")</f>
        <v/>
      </c>
      <c r="Z165">
        <f>I165</f>
        <v/>
      </c>
    </row>
    <row r="166">
      <c r="H166">
        <f>IF(F166="✅ Executado", 10, IF(F166="🟡 Parcial", 5, 0))</f>
        <v/>
      </c>
      <c r="I166">
        <f>IFERROR(VLOOKUP(TRIM(E166),Objetivos!$A$2:$C$200,2,FALSE)&amp;"_"&amp;RIGHT(E166,2),"")</f>
        <v/>
      </c>
      <c r="Z166">
        <f>I166</f>
        <v/>
      </c>
    </row>
    <row r="167">
      <c r="H167">
        <f>IF(F167="✅ Executado", 10, IF(F167="🟡 Parcial", 5, 0))</f>
        <v/>
      </c>
      <c r="I167">
        <f>IFERROR(VLOOKUP(TRIM(E167),Objetivos!$A$2:$C$200,2,FALSE)&amp;"_"&amp;RIGHT(E167,2),"")</f>
        <v/>
      </c>
      <c r="Z167">
        <f>I167</f>
        <v/>
      </c>
    </row>
    <row r="168">
      <c r="H168">
        <f>IF(F168="✅ Executado", 10, IF(F168="🟡 Parcial", 5, 0))</f>
        <v/>
      </c>
      <c r="I168">
        <f>IFERROR(VLOOKUP(TRIM(E168),Objetivos!$A$2:$C$200,2,FALSE)&amp;"_"&amp;RIGHT(E168,2),"")</f>
        <v/>
      </c>
      <c r="Z168">
        <f>I168</f>
        <v/>
      </c>
    </row>
    <row r="169">
      <c r="H169">
        <f>IF(F169="✅ Executado", 10, IF(F169="🟡 Parcial", 5, 0))</f>
        <v/>
      </c>
      <c r="I169">
        <f>IFERROR(VLOOKUP(TRIM(E169),Objetivos!$A$2:$C$200,2,FALSE)&amp;"_"&amp;RIGHT(E169,2),"")</f>
        <v/>
      </c>
      <c r="Z169">
        <f>I169</f>
        <v/>
      </c>
    </row>
    <row r="170">
      <c r="H170">
        <f>IF(F170="✅ Executado", 10, IF(F170="🟡 Parcial", 5, 0))</f>
        <v/>
      </c>
      <c r="I170">
        <f>IFERROR(VLOOKUP(TRIM(E170),Objetivos!$A$2:$C$200,2,FALSE)&amp;"_"&amp;RIGHT(E170,2),"")</f>
        <v/>
      </c>
      <c r="Z170">
        <f>I170</f>
        <v/>
      </c>
    </row>
    <row r="171">
      <c r="H171">
        <f>IF(F171="✅ Executado", 10, IF(F171="🟡 Parcial", 5, 0))</f>
        <v/>
      </c>
      <c r="I171">
        <f>IFERROR(VLOOKUP(TRIM(E171),Objetivos!$A$2:$C$200,2,FALSE)&amp;"_"&amp;RIGHT(E171,2),"")</f>
        <v/>
      </c>
      <c r="Z171">
        <f>I171</f>
        <v/>
      </c>
    </row>
    <row r="172">
      <c r="H172">
        <f>IF(F172="✅ Executado", 10, IF(F172="🟡 Parcial", 5, 0))</f>
        <v/>
      </c>
      <c r="I172">
        <f>IFERROR(VLOOKUP(TRIM(E172),Objetivos!$A$2:$C$200,2,FALSE)&amp;"_"&amp;RIGHT(E172,2),"")</f>
        <v/>
      </c>
      <c r="Z172">
        <f>I172</f>
        <v/>
      </c>
    </row>
    <row r="173">
      <c r="H173">
        <f>IF(F173="✅ Executado", 10, IF(F173="🟡 Parcial", 5, 0))</f>
        <v/>
      </c>
      <c r="I173">
        <f>IFERROR(VLOOKUP(TRIM(E173),Objetivos!$A$2:$C$200,2,FALSE)&amp;"_"&amp;RIGHT(E173,2),"")</f>
        <v/>
      </c>
      <c r="Z173">
        <f>I173</f>
        <v/>
      </c>
    </row>
    <row r="174">
      <c r="H174">
        <f>IF(F174="✅ Executado", 10, IF(F174="🟡 Parcial", 5, 0))</f>
        <v/>
      </c>
      <c r="I174">
        <f>IFERROR(VLOOKUP(TRIM(E174),Objetivos!$A$2:$C$200,2,FALSE)&amp;"_"&amp;RIGHT(E174,2),"")</f>
        <v/>
      </c>
      <c r="Z174">
        <f>I174</f>
        <v/>
      </c>
    </row>
    <row r="175">
      <c r="H175">
        <f>IF(F175="✅ Executado", 10, IF(F175="🟡 Parcial", 5, 0))</f>
        <v/>
      </c>
      <c r="I175">
        <f>IFERROR(VLOOKUP(TRIM(E175),Objetivos!$A$2:$C$200,2,FALSE)&amp;"_"&amp;RIGHT(E175,2),"")</f>
        <v/>
      </c>
      <c r="Z175">
        <f>I175</f>
        <v/>
      </c>
    </row>
    <row r="176">
      <c r="H176">
        <f>IF(F176="✅ Executado", 10, IF(F176="🟡 Parcial", 5, 0))</f>
        <v/>
      </c>
      <c r="I176">
        <f>IFERROR(VLOOKUP(TRIM(E176),Objetivos!$A$2:$C$200,2,FALSE)&amp;"_"&amp;RIGHT(E176,2),"")</f>
        <v/>
      </c>
      <c r="Z176">
        <f>I176</f>
        <v/>
      </c>
    </row>
    <row r="177">
      <c r="H177">
        <f>IF(F177="✅ Executado", 10, IF(F177="🟡 Parcial", 5, 0))</f>
        <v/>
      </c>
      <c r="I177">
        <f>IFERROR(VLOOKUP(TRIM(E177),Objetivos!$A$2:$C$200,2,FALSE)&amp;"_"&amp;RIGHT(E177,2),"")</f>
        <v/>
      </c>
      <c r="Z177">
        <f>I177</f>
        <v/>
      </c>
    </row>
    <row r="178">
      <c r="H178">
        <f>IF(F178="✅ Executado", 10, IF(F178="🟡 Parcial", 5, 0))</f>
        <v/>
      </c>
      <c r="I178">
        <f>IFERROR(VLOOKUP(TRIM(E178),Objetivos!$A$2:$C$200,2,FALSE)&amp;"_"&amp;RIGHT(E178,2),"")</f>
        <v/>
      </c>
      <c r="Z178">
        <f>I178</f>
        <v/>
      </c>
    </row>
    <row r="179">
      <c r="H179">
        <f>IF(F179="✅ Executado", 10, IF(F179="🟡 Parcial", 5, 0))</f>
        <v/>
      </c>
      <c r="I179">
        <f>IFERROR(VLOOKUP(TRIM(E179),Objetivos!$A$2:$C$200,2,FALSE)&amp;"_"&amp;RIGHT(E179,2),"")</f>
        <v/>
      </c>
      <c r="Z179">
        <f>I179</f>
        <v/>
      </c>
    </row>
    <row r="180">
      <c r="H180">
        <f>IF(F180="✅ Executado", 10, IF(F180="🟡 Parcial", 5, 0))</f>
        <v/>
      </c>
      <c r="I180">
        <f>IFERROR(VLOOKUP(TRIM(E180),Objetivos!$A$2:$C$200,2,FALSE)&amp;"_"&amp;RIGHT(E180,2),"")</f>
        <v/>
      </c>
      <c r="Z180">
        <f>I180</f>
        <v/>
      </c>
    </row>
    <row r="181">
      <c r="H181">
        <f>IF(F181="✅ Executado", 10, IF(F181="🟡 Parcial", 5, 0))</f>
        <v/>
      </c>
      <c r="I181">
        <f>IFERROR(VLOOKUP(TRIM(E181),Objetivos!$A$2:$C$200,2,FALSE)&amp;"_"&amp;RIGHT(E181,2),"")</f>
        <v/>
      </c>
      <c r="Z181">
        <f>I181</f>
        <v/>
      </c>
    </row>
    <row r="182">
      <c r="H182">
        <f>IF(F182="✅ Executado", 10, IF(F182="🟡 Parcial", 5, 0))</f>
        <v/>
      </c>
      <c r="I182">
        <f>IFERROR(VLOOKUP(TRIM(E182),Objetivos!$A$2:$C$200,2,FALSE)&amp;"_"&amp;RIGHT(E182,2),"")</f>
        <v/>
      </c>
      <c r="Z182">
        <f>I182</f>
        <v/>
      </c>
    </row>
    <row r="183">
      <c r="H183">
        <f>IF(F183="✅ Executado", 10, IF(F183="🟡 Parcial", 5, 0))</f>
        <v/>
      </c>
      <c r="I183">
        <f>IFERROR(VLOOKUP(TRIM(E183),Objetivos!$A$2:$C$200,2,FALSE)&amp;"_"&amp;RIGHT(E183,2),"")</f>
        <v/>
      </c>
      <c r="Z183">
        <f>I183</f>
        <v/>
      </c>
    </row>
    <row r="184">
      <c r="H184">
        <f>IF(F184="✅ Executado", 10, IF(F184="🟡 Parcial", 5, 0))</f>
        <v/>
      </c>
      <c r="I184">
        <f>IFERROR(VLOOKUP(TRIM(E184),Objetivos!$A$2:$C$200,2,FALSE)&amp;"_"&amp;RIGHT(E184,2),"")</f>
        <v/>
      </c>
      <c r="Z184">
        <f>I184</f>
        <v/>
      </c>
    </row>
    <row r="185">
      <c r="H185">
        <f>IF(F185="✅ Executado", 10, IF(F185="🟡 Parcial", 5, 0))</f>
        <v/>
      </c>
      <c r="I185">
        <f>IFERROR(VLOOKUP(TRIM(E185),Objetivos!$A$2:$C$200,2,FALSE)&amp;"_"&amp;RIGHT(E185,2),"")</f>
        <v/>
      </c>
      <c r="Z185">
        <f>I185</f>
        <v/>
      </c>
    </row>
    <row r="186">
      <c r="H186">
        <f>IF(F186="✅ Executado", 10, IF(F186="🟡 Parcial", 5, 0))</f>
        <v/>
      </c>
      <c r="I186">
        <f>IFERROR(VLOOKUP(TRIM(E186),Objetivos!$A$2:$C$200,2,FALSE)&amp;"_"&amp;RIGHT(E186,2),"")</f>
        <v/>
      </c>
      <c r="Z186">
        <f>I186</f>
        <v/>
      </c>
    </row>
    <row r="187">
      <c r="H187">
        <f>IF(F187="✅ Executado", 10, IF(F187="🟡 Parcial", 5, 0))</f>
        <v/>
      </c>
      <c r="I187">
        <f>IFERROR(VLOOKUP(TRIM(E187),Objetivos!$A$2:$C$200,2,FALSE)&amp;"_"&amp;RIGHT(E187,2),"")</f>
        <v/>
      </c>
      <c r="Z187">
        <f>I187</f>
        <v/>
      </c>
    </row>
    <row r="188">
      <c r="H188">
        <f>IF(F188="✅ Executado", 10, IF(F188="🟡 Parcial", 5, 0))</f>
        <v/>
      </c>
      <c r="I188">
        <f>IFERROR(VLOOKUP(TRIM(E188),Objetivos!$A$2:$C$200,2,FALSE)&amp;"_"&amp;RIGHT(E188,2),"")</f>
        <v/>
      </c>
      <c r="Z188">
        <f>I188</f>
        <v/>
      </c>
    </row>
    <row r="189">
      <c r="H189">
        <f>IF(F189="✅ Executado", 10, IF(F189="🟡 Parcial", 5, 0))</f>
        <v/>
      </c>
      <c r="I189">
        <f>IFERROR(VLOOKUP(TRIM(E189),Objetivos!$A$2:$C$200,2,FALSE)&amp;"_"&amp;RIGHT(E189,2),"")</f>
        <v/>
      </c>
      <c r="Z189">
        <f>I189</f>
        <v/>
      </c>
    </row>
    <row r="190">
      <c r="H190">
        <f>IF(F190="✅ Executado", 10, IF(F190="🟡 Parcial", 5, 0))</f>
        <v/>
      </c>
      <c r="I190">
        <f>IFERROR(VLOOKUP(TRIM(E190),Objetivos!$A$2:$C$200,2,FALSE)&amp;"_"&amp;RIGHT(E190,2),"")</f>
        <v/>
      </c>
      <c r="Z190">
        <f>I190</f>
        <v/>
      </c>
    </row>
    <row r="191">
      <c r="H191">
        <f>IF(F191="✅ Executado", 10, IF(F191="🟡 Parcial", 5, 0))</f>
        <v/>
      </c>
      <c r="I191">
        <f>IFERROR(VLOOKUP(TRIM(E191),Objetivos!$A$2:$C$200,2,FALSE)&amp;"_"&amp;RIGHT(E191,2),"")</f>
        <v/>
      </c>
      <c r="Z191">
        <f>I191</f>
        <v/>
      </c>
    </row>
    <row r="192">
      <c r="H192">
        <f>IF(F192="✅ Executado", 10, IF(F192="🟡 Parcial", 5, 0))</f>
        <v/>
      </c>
      <c r="I192">
        <f>IFERROR(VLOOKUP(TRIM(E192),Objetivos!$A$2:$C$200,2,FALSE)&amp;"_"&amp;RIGHT(E192,2),"")</f>
        <v/>
      </c>
      <c r="Z192">
        <f>I192</f>
        <v/>
      </c>
    </row>
    <row r="193">
      <c r="H193">
        <f>IF(F193="✅ Executado", 10, IF(F193="🟡 Parcial", 5, 0))</f>
        <v/>
      </c>
      <c r="I193">
        <f>IFERROR(VLOOKUP(TRIM(E193),Objetivos!$A$2:$C$200,2,FALSE)&amp;"_"&amp;RIGHT(E193,2),"")</f>
        <v/>
      </c>
      <c r="Z193">
        <f>I193</f>
        <v/>
      </c>
    </row>
    <row r="194">
      <c r="H194">
        <f>IF(F194="✅ Executado", 10, IF(F194="🟡 Parcial", 5, 0))</f>
        <v/>
      </c>
      <c r="I194">
        <f>IFERROR(VLOOKUP(TRIM(E194),Objetivos!$A$2:$C$200,2,FALSE)&amp;"_"&amp;RIGHT(E194,2),"")</f>
        <v/>
      </c>
      <c r="Z194">
        <f>I194</f>
        <v/>
      </c>
    </row>
    <row r="195">
      <c r="H195">
        <f>IF(F195="✅ Executado", 10, IF(F195="🟡 Parcial", 5, 0))</f>
        <v/>
      </c>
      <c r="I195">
        <f>IFERROR(VLOOKUP(TRIM(E195),Objetivos!$A$2:$C$200,2,FALSE)&amp;"_"&amp;RIGHT(E195,2),"")</f>
        <v/>
      </c>
      <c r="Z195">
        <f>I195</f>
        <v/>
      </c>
    </row>
    <row r="196">
      <c r="H196">
        <f>IF(F196="✅ Executado", 10, IF(F196="🟡 Parcial", 5, 0))</f>
        <v/>
      </c>
      <c r="I196">
        <f>IFERROR(VLOOKUP(TRIM(E196),Objetivos!$A$2:$C$200,2,FALSE)&amp;"_"&amp;RIGHT(E196,2),"")</f>
        <v/>
      </c>
      <c r="Z196">
        <f>I196</f>
        <v/>
      </c>
    </row>
    <row r="197">
      <c r="H197">
        <f>IF(F197="✅ Executado", 10, IF(F197="🟡 Parcial", 5, 0))</f>
        <v/>
      </c>
      <c r="I197">
        <f>IFERROR(VLOOKUP(TRIM(E197),Objetivos!$A$2:$C$200,2,FALSE)&amp;"_"&amp;RIGHT(E197,2),"")</f>
        <v/>
      </c>
      <c r="Z197">
        <f>I197</f>
        <v/>
      </c>
    </row>
    <row r="198">
      <c r="H198">
        <f>IF(F198="✅ Executado", 10, IF(F198="🟡 Parcial", 5, 0))</f>
        <v/>
      </c>
      <c r="I198">
        <f>IFERROR(VLOOKUP(TRIM(E198),Objetivos!$A$2:$C$200,2,FALSE)&amp;"_"&amp;RIGHT(E198,2),"")</f>
        <v/>
      </c>
      <c r="Z198">
        <f>I198</f>
        <v/>
      </c>
    </row>
    <row r="199">
      <c r="H199">
        <f>IF(F199="✅ Executado", 10, IF(F199="🟡 Parcial", 5, 0))</f>
        <v/>
      </c>
      <c r="I199">
        <f>IFERROR(VLOOKUP(TRIM(E199),Objetivos!$A$2:$C$200,2,FALSE)&amp;"_"&amp;RIGHT(E199,2),"")</f>
        <v/>
      </c>
      <c r="Z199">
        <f>I199</f>
        <v/>
      </c>
    </row>
    <row r="200">
      <c r="H200">
        <f>IF(F200="✅ Executado", 10, IF(F200="🟡 Parcial", 5, 0))</f>
        <v/>
      </c>
      <c r="I200">
        <f>IFERROR(VLOOKUP(TRIM(E200),Objetivos!$A$2:$C$200,2,FALSE)&amp;"_"&amp;RIGHT(E200,2),"")</f>
        <v/>
      </c>
      <c r="Z200">
        <f>I200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2:C200" showErrorMessage="1" showInputMessage="1" allowBlank="1" type="list">
      <formula1>INDIRECT(Z2)</formula1>
    </dataValidation>
    <dataValidation sqref="C2:C200" showErrorMessage="1" showDropDown="1" showInputMessage="1" allowBlank="1" type="list">
      <formula1>SE(I2&lt;&gt;"",INDIRETO(I2),"")</formula1>
    </dataValidation>
    <dataValidation sqref="F2:F200" showErrorMessage="1" showInputMessage="1" allowBlank="1" errorTitle="Valor inválido" error="Escolha um valor válido" prompt="Selecione o status da execução" type="list">
      <formula1>"✅ Executado,❌ Não executado,🟡 Parcial"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cols>
    <col width="13.140625" customWidth="1" min="1" max="6"/>
    <col width="47.140625" bestFit="1" customWidth="1" min="7" max="7"/>
    <col width="13.140625" customWidth="1" min="8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Amigos</t>
        </is>
      </c>
      <c r="F1" t="inlineStr">
        <is>
          <t>Comunidade</t>
        </is>
      </c>
      <c r="G1" t="inlineStr">
        <is>
          <t>Eu mesmo</t>
        </is>
      </c>
      <c r="H1" t="inlineStr">
        <is>
          <t>Melhorar_a_comunicação_com_meus_pais</t>
        </is>
      </c>
      <c r="I1" t="inlineStr">
        <is>
          <t>Ajudar_nas_tarefas_de_casa_com_regularidade</t>
        </is>
      </c>
      <c r="J1" t="inlineStr">
        <is>
          <t>Passar_tempo_de_qualidade_com_minha_familia</t>
        </is>
      </c>
      <c r="K1" t="inlineStr">
        <is>
          <t>Ser_mais_paciente_com_meus_irmãos_ou_parentes</t>
        </is>
      </c>
      <c r="L1" t="inlineStr">
        <is>
          <t>Expressar_gratidão_e_carinho_dentro_de_casa</t>
        </is>
      </c>
      <c r="M1" t="inlineStr">
        <is>
          <t>Evitar_discussões_desnecessarias</t>
        </is>
      </c>
      <c r="N1" t="inlineStr">
        <is>
          <t>Orar_com_minha_familia_regularmente</t>
        </is>
      </c>
      <c r="O1" t="inlineStr">
        <is>
          <t>Respeitar_os_horarios_e_regras_do_lar</t>
        </is>
      </c>
      <c r="P1" t="inlineStr">
        <is>
          <t>Frequentar_os_cultos_com_regularidade</t>
        </is>
      </c>
      <c r="Q1" t="inlineStr">
        <is>
          <t>Participar_ativamente_do_ministerio_de_jovens</t>
        </is>
      </c>
      <c r="R1" t="inlineStr">
        <is>
          <t>Servir_em_algum_ministerio_da_igreja</t>
        </is>
      </c>
      <c r="S1" t="inlineStr">
        <is>
          <t>Orar_e_ler_a_Biblia_diariamente</t>
        </is>
      </c>
      <c r="T1" t="inlineStr">
        <is>
          <t>Testemunhar_minha_fe_com_sabedoria</t>
        </is>
      </c>
      <c r="U1" t="inlineStr">
        <is>
          <t>Apoiar_os_novos_membros_e_visitantes</t>
        </is>
      </c>
      <c r="V1" t="inlineStr">
        <is>
          <t>Ser_pontual_e_comprometido_nas_atividades</t>
        </is>
      </c>
      <c r="W1" t="inlineStr">
        <is>
          <t>Buscar_conselhos_com_lideres_espirituais</t>
        </is>
      </c>
      <c r="X1" t="inlineStr">
        <is>
          <t>Organizar_melhor_meus_estudos_e_prazos</t>
        </is>
      </c>
      <c r="Y1" t="inlineStr">
        <is>
          <t>Melhorar_minha_participação_nas_aulas</t>
        </is>
      </c>
      <c r="Z1" t="inlineStr">
        <is>
          <t>Cuidar_do_meu_comportamento_escolar</t>
        </is>
      </c>
      <c r="AA1" t="inlineStr">
        <is>
          <t>Buscar_ajuda_quando_tiver_dificuldades</t>
        </is>
      </c>
      <c r="AB1" t="inlineStr">
        <is>
          <t>Aumentar_minha_media_em_pelo_menos_uma_disciplina</t>
        </is>
      </c>
      <c r="AC1" t="inlineStr">
        <is>
          <t>Respeitar_professores_e_colegas</t>
        </is>
      </c>
      <c r="AD1" t="inlineStr">
        <is>
          <t>Evitar_distrações_em_sala_de_aula</t>
        </is>
      </c>
      <c r="AE1" t="inlineStr">
        <is>
          <t>Montar_um_plano_de_estudos_realista</t>
        </is>
      </c>
      <c r="AF1" t="inlineStr">
        <is>
          <t>Valorizar_os_verdadeiros_amigos</t>
        </is>
      </c>
      <c r="AG1" t="inlineStr">
        <is>
          <t>Ser_mais_presente_nos_momentos_dificeis</t>
        </is>
      </c>
      <c r="AH1" t="inlineStr">
        <is>
          <t>Dar_bons_conselhos_quando_for_procurado</t>
        </is>
      </c>
      <c r="AI1" t="inlineStr">
        <is>
          <t>Manter_contato_com_amigos_antigos</t>
        </is>
      </c>
      <c r="AJ1" t="inlineStr">
        <is>
          <t>Evitar_fofocas_e_julgamentos</t>
        </is>
      </c>
      <c r="AK1" t="inlineStr">
        <is>
          <t>Incluir_colegas_que_ficam_isolados</t>
        </is>
      </c>
      <c r="AL1" t="inlineStr">
        <is>
          <t>Desenvolver_amizades_saudaveis</t>
        </is>
      </c>
      <c r="AM1" t="inlineStr">
        <is>
          <t>Orar_por_meus_amigos_regularmente</t>
        </is>
      </c>
      <c r="AN1" t="inlineStr">
        <is>
          <t>Participar_de_ações_sociais_ou_voluntariado</t>
        </is>
      </c>
      <c r="AO1" t="inlineStr">
        <is>
          <t>Cuidar_do_ambiente_ao_meu_redor</t>
        </is>
      </c>
      <c r="AP1" t="inlineStr">
        <is>
          <t>Ser_respeitoso_com_todos,_mesmo_os_diferentes</t>
        </is>
      </c>
      <c r="AQ1" t="inlineStr">
        <is>
          <t>Cumprir_regras_e_responsabilidades_publicas</t>
        </is>
      </c>
      <c r="AR1" t="inlineStr">
        <is>
          <t>Tratar_bem_os_vizinhos</t>
        </is>
      </c>
      <c r="AS1" t="inlineStr">
        <is>
          <t>Ajudar_idosos_ou_crianças_quando_possivel</t>
        </is>
      </c>
      <c r="AT1" t="inlineStr">
        <is>
          <t>Usar_redes_sociais_com_responsabilidade</t>
        </is>
      </c>
      <c r="AU1" t="inlineStr">
        <is>
          <t>Representar_bem_minha_fe_e_meus_valores</t>
        </is>
      </c>
      <c r="AV1" t="inlineStr">
        <is>
          <t>Me_conhecer_melhor_e_valorizar_minhas_qualidades</t>
        </is>
      </c>
      <c r="AW1" t="inlineStr">
        <is>
          <t>Cuidar_da_minha_saude_fisica</t>
        </is>
      </c>
      <c r="AX1" t="inlineStr">
        <is>
          <t>Controlar_meu_tempo_no_celular_e_redes</t>
        </is>
      </c>
      <c r="AY1" t="inlineStr">
        <is>
          <t>Aprender_a_lidar_com_minhas_emoções</t>
        </is>
      </c>
      <c r="AZ1" t="inlineStr">
        <is>
          <t>Criar_habitos_saudaveis_(sono,_alimentação)</t>
        </is>
      </c>
      <c r="BA1" t="inlineStr">
        <is>
          <t>Buscar_crescimento_espiritual</t>
        </is>
      </c>
      <c r="BB1" t="inlineStr">
        <is>
          <t>Evitar_comparações_e_inveja</t>
        </is>
      </c>
      <c r="BC1" t="inlineStr">
        <is>
          <t>Desenvolver_um_plano_de_vida_com_metas_claras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Valorizar os verdadeiros amigos</t>
        </is>
      </c>
      <c r="F2" t="inlineStr">
        <is>
          <t>Participar de ações sociais ou voluntariado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Ser mais presente nos momentos difíceis</t>
        </is>
      </c>
      <c r="F3" t="inlineStr">
        <is>
          <t>Cuidar do ambiente ao meu redor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Dar bons conselhos quando for procurado</t>
        </is>
      </c>
      <c r="F4" t="inlineStr">
        <is>
          <t>Ser respeitoso com todos, mesmo os diferentes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Manter contato com amigos antigos</t>
        </is>
      </c>
      <c r="F5" t="inlineStr">
        <is>
          <t>Cumprir regras e responsabilidades públicas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Evitar fofocas e julgamentos</t>
        </is>
      </c>
      <c r="F6" t="inlineStr">
        <is>
          <t>Tratar bem os vizinhos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Incluir colegas que ficam isolados</t>
        </is>
      </c>
      <c r="F7" t="inlineStr">
        <is>
          <t>Ajudar idosos ou crianças quando possível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Desenvolver amizades saudáveis</t>
        </is>
      </c>
      <c r="F8" t="inlineStr">
        <is>
          <t>Usar redes sociais com responsabilidade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por meus amigos regularmente</t>
        </is>
      </c>
      <c r="F9" t="inlineStr">
        <is>
          <t>Representar bem minha fé e meus valores</t>
        </is>
      </c>
      <c r="G9" t="inlineStr">
        <is>
          <t>Desenvolver um plano de vida com metas claras</t>
        </is>
      </c>
    </row>
  </sheetData>
  <dataValidations disablePrompts="1"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2025-07-17T03:55:14Z</dcterms:modified>
  <cp:lastModifiedBy>Wanderley Gazeta</cp:lastModifiedBy>
</cp:coreProperties>
</file>