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anderley\Publicacoes\Formularios\"/>
    </mc:Choice>
  </mc:AlternateContent>
  <xr:revisionPtr revIDLastSave="0" documentId="13_ncr:1_{A2C310C8-8ABF-43FA-8A18-BF9A91A49641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Áreas" sheetId="1" r:id="rId1"/>
    <sheet name="Resumo Semanal" sheetId="2" r:id="rId2"/>
    <sheet name="Níveis Alcançados" sheetId="3" r:id="rId3"/>
    <sheet name="Objetivos" sheetId="4" r:id="rId4"/>
    <sheet name="Estratégias" sheetId="5" r:id="rId5"/>
    <sheet name="Registros Diários" sheetId="6" r:id="rId6"/>
    <sheet name="ListasAuxiliares" sheetId="7" r:id="rId7"/>
  </sheets>
  <definedNames>
    <definedName name="Ajudar_idosos_ou_crianças_quando_possivel">ListasAuxiliares!$AS$2:$AS$6</definedName>
    <definedName name="Ajudar_nas_tarefas_de_casa_com_regularidade">ListasAuxiliares!$I$2:$I$6</definedName>
    <definedName name="Amigos">ListasAuxiliares!$E$2:$E$9</definedName>
    <definedName name="Apoiar_os_novos_membros_e_visitantes">ListasAuxiliares!$U$2:$U$6</definedName>
    <definedName name="Aprender_a_lidar_com_minhas_emoções">ListasAuxiliares!$AY$1</definedName>
    <definedName name="Aumentar_minha_media_em_pelo_menos_uma_disciplina">ListasAuxiliares!$AB$2:$AB$6</definedName>
    <definedName name="Buscar_ajuda_quando_tiver_dificuldades">ListasAuxiliares!$AA$2:$AA$6</definedName>
    <definedName name="Buscar_conselhos_com_lideres_espirituais">ListasAuxiliares!$W$2:$W$6</definedName>
    <definedName name="Buscar_crescimento_espiritual">ListasAuxiliares!$BA$2:$BA$6</definedName>
    <definedName name="Comunidade">ListasAuxiliares!$F$2:$F$9</definedName>
    <definedName name="Controlar_meu_tempo_no_celular_e_redes">ListasAuxiliares!$AX$2:$AX$6</definedName>
    <definedName name="Criar_habitos_saudaveis__sono__alimentação">ListasAuxiliares!$AZ$2:$AZ$6</definedName>
    <definedName name="Cuidar_da_minha_saude_fisica">ListasAuxiliares!$AW$2:$AW$6</definedName>
    <definedName name="Cuidar_do_ambiente_ao_meu_redor">ListasAuxiliares!$AO$2:$AO$6</definedName>
    <definedName name="Cuidar_do_meu_comportamento_escolar">ListasAuxiliares!$Z$2:$Z$6</definedName>
    <definedName name="Cumprir_regras_e_responsabilidades_publicas">ListasAuxiliares!$AQ$2:$AQ$6</definedName>
    <definedName name="Dar_bons_conselhos_quando_for_procurado">ListasAuxiliares!$AH$2:$AH$6</definedName>
    <definedName name="Desenvolver_amizades_saudaveis">ListasAuxiliares!$AL$2:$AL$6</definedName>
    <definedName name="Desenvolver_um_plano_de_vida_com_metas_claras">ListasAuxiliares!$BC$2:$BC$6</definedName>
    <definedName name="Escola">ListasAuxiliares!$D$2:$D$9</definedName>
    <definedName name="Eu_mesmo">ListasAuxiliares!$G$2:$G$9</definedName>
    <definedName name="Evitar_comparações_e_inveja">ListasAuxiliares!$BB$2:$BB$6</definedName>
    <definedName name="Evitar_discussões_desnecessarias">ListasAuxiliares!$M$2:$M$6</definedName>
    <definedName name="Evitar_distrações_em_sala_de_aula">ListasAuxiliares!$AD$2:$AD$6</definedName>
    <definedName name="Evitar_fofocas_e_julgamentos">ListasAuxiliares!$AJ$2:$AJ$6</definedName>
    <definedName name="Expressar_gratidão_e_carinho_dentro_de_casa">ListasAuxiliares!$L$2:$L$6</definedName>
    <definedName name="Familia">ListasAuxiliares!$B$2:$B$9</definedName>
    <definedName name="Frequentar_os_cultos_com_regularidade">ListasAuxiliares!$P$2:$P$6</definedName>
    <definedName name="Igreja">ListasAuxiliares!$C$2:$C$9</definedName>
    <definedName name="Incluir_colegas_que_ficam_isolados">ListasAuxiliares!$AK$2:$AK$6</definedName>
    <definedName name="ListaEstrategiasAtiva">OFFSET('Registros Diários'!$Z$2,0,0,COUNTA('Registros Diários'!$Z$2:$Z$100))</definedName>
    <definedName name="Manter_contato_com_amigos_antigos">ListasAuxiliares!$AI$2:$AI$6</definedName>
    <definedName name="Me_conhecer_melhor_e_valorizar_minhas_qualidades">ListasAuxiliares!$AV$2:$AV$6</definedName>
    <definedName name="Melhorar_a_comunicação_com_meus_pais">ListasAuxiliares!$H$2:$H$6</definedName>
    <definedName name="Melhorar_minha_participação_nas_aulas">ListasAuxiliares!$Y$2:$Y$6</definedName>
    <definedName name="Montar_um_plano_de_estudos_realista">ListasAuxiliares!$AE$2:$AE$6</definedName>
    <definedName name="Orar_com_minha_familia_regularmente">ListasAuxiliares!$N$2:$N$6</definedName>
    <definedName name="Orar_e_ler_a_Biblia_diariamente">ListasAuxiliares!$S$2:$S$6</definedName>
    <definedName name="Orar_por_meus_amigos_regularmente">ListasAuxiliares!$AM$2:$AM$6</definedName>
    <definedName name="Organizar_melhor_meus_estudos_e_prazos">ListasAuxiliares!$X$2:$X$6</definedName>
    <definedName name="Participar_ativamente_do_ministerio_de_jovens">ListasAuxiliares!$Q$2:$Q$6</definedName>
    <definedName name="Participar_de_ações_sociais_ou_voluntariado">ListasAuxiliares!$AN$2:$AN$6</definedName>
    <definedName name="Passar_tempo_de_qualidade_com_minha_familia">ListasAuxiliares!$J$2:$J$6</definedName>
    <definedName name="Representar_bem_minha_fe_e_meus_valores">ListasAuxiliares!$AU$2:$AU$6</definedName>
    <definedName name="Respeitar_os_horarios_e_regras_do_lar">ListasAuxiliares!$O$2:$O$6</definedName>
    <definedName name="Respeitar_professores_e_colegas">ListasAuxiliares!$AC$2:$AC$6</definedName>
    <definedName name="Ser_mais_paciente_com_meus_irmãos_ou_parentes">ListasAuxiliares!$K$2:$K$6</definedName>
    <definedName name="Ser_mais_presente_nos_momentos_dificeis">ListasAuxiliares!$AG$2:$AG$6</definedName>
    <definedName name="Ser_pontual_e_comprometido_nas_atividades">ListasAuxiliares!$V$2:$V$6</definedName>
    <definedName name="Ser_respeitoso_com_todos__mesmo_os_diferentes">ListasAuxiliares!$AP$2:$AP$6</definedName>
    <definedName name="Servir_em_algum_ministerio_da_igreja">ListasAuxiliares!$R$2:$R$6</definedName>
    <definedName name="Testemunhar_minha_fe_com_sabedoria">ListasAuxiliares!$T$2:$T$6</definedName>
    <definedName name="Tratar_bem_os_vizinhos">ListasAuxiliares!$AR$2:$AR$6</definedName>
    <definedName name="Usar_redes_sociais_com_responsabilidade">ListasAuxiliares!$AT$2:$AT$6</definedName>
    <definedName name="Valorizar_os_verdadeiros_amigos">ListasAuxiliares!$AF$2:$AF$6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6" l="1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Z2" i="6" s="1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J2" i="6" a="1"/>
  <c r="J2" i="6" s="1"/>
</calcChain>
</file>

<file path=xl/sharedStrings.xml><?xml version="1.0" encoding="utf-8"?>
<sst xmlns="http://schemas.openxmlformats.org/spreadsheetml/2006/main" count="1598" uniqueCount="670">
  <si>
    <t>Código Área</t>
  </si>
  <si>
    <t>Área</t>
  </si>
  <si>
    <t>A01</t>
  </si>
  <si>
    <t>Família</t>
  </si>
  <si>
    <t>A02</t>
  </si>
  <si>
    <t>Igreja</t>
  </si>
  <si>
    <t>A03</t>
  </si>
  <si>
    <t>Escola</t>
  </si>
  <si>
    <t>A04</t>
  </si>
  <si>
    <t>Amigos</t>
  </si>
  <si>
    <t>A05</t>
  </si>
  <si>
    <t>Comunidade</t>
  </si>
  <si>
    <t>A06</t>
  </si>
  <si>
    <t>Eu mesmo</t>
  </si>
  <si>
    <t>Semana</t>
  </si>
  <si>
    <t>Progresso</t>
  </si>
  <si>
    <t>Falhas</t>
  </si>
  <si>
    <t>Pontuação da Semana</t>
  </si>
  <si>
    <t>Semana 1</t>
  </si>
  <si>
    <t>Semana 2</t>
  </si>
  <si>
    <t>Semana 3</t>
  </si>
  <si>
    <t>Pontuação Total</t>
  </si>
  <si>
    <t>Nível Atual</t>
  </si>
  <si>
    <t>Persistente</t>
  </si>
  <si>
    <t>Nível</t>
  </si>
  <si>
    <t>Pontuação Mínima</t>
  </si>
  <si>
    <t>Iniciante</t>
  </si>
  <si>
    <t>Explorador</t>
  </si>
  <si>
    <t>Guerreiro</t>
  </si>
  <si>
    <t>Vencedor</t>
  </si>
  <si>
    <t>Líder Inspirador</t>
  </si>
  <si>
    <t>Código Objetivo</t>
  </si>
  <si>
    <t>Área Vinculada</t>
  </si>
  <si>
    <t>Descrição do Objetivo</t>
  </si>
  <si>
    <t>A01O01</t>
  </si>
  <si>
    <t>Melhorar a comunicação com meus pais</t>
  </si>
  <si>
    <t>A01O02</t>
  </si>
  <si>
    <t>Ajudar nas tarefas de casa com regularidade</t>
  </si>
  <si>
    <t>A01O03</t>
  </si>
  <si>
    <t>Passar tempo de qualidade com minha família</t>
  </si>
  <si>
    <t>A01O04</t>
  </si>
  <si>
    <t>Ser mais paciente com meus irmãos ou parentes</t>
  </si>
  <si>
    <t>A01O05</t>
  </si>
  <si>
    <t>Expressar gratidão e carinho dentro de casa</t>
  </si>
  <si>
    <t>A01O06</t>
  </si>
  <si>
    <t>Evitar discussões desnecessárias</t>
  </si>
  <si>
    <t>A01O07</t>
  </si>
  <si>
    <t>Orar com minha família regularmente</t>
  </si>
  <si>
    <t>A01O08</t>
  </si>
  <si>
    <t>Respeitar os horários e regras do lar</t>
  </si>
  <si>
    <t>A02O01</t>
  </si>
  <si>
    <t>Frequentar os cultos com regularidade</t>
  </si>
  <si>
    <t>A02O02</t>
  </si>
  <si>
    <t>Participar ativamente do ministério de jovens</t>
  </si>
  <si>
    <t>A02O03</t>
  </si>
  <si>
    <t>Servir em algum ministério da igreja</t>
  </si>
  <si>
    <t>A02O04</t>
  </si>
  <si>
    <t>Orar e ler a Bíblia diariamente</t>
  </si>
  <si>
    <t>A02O05</t>
  </si>
  <si>
    <t>Testemunhar minha fé com sabedoria</t>
  </si>
  <si>
    <t>A02O06</t>
  </si>
  <si>
    <t>Apoiar os novos membros e visitantes</t>
  </si>
  <si>
    <t>A02O07</t>
  </si>
  <si>
    <t>Ser pontual e comprometido nas atividades</t>
  </si>
  <si>
    <t>A02O08</t>
  </si>
  <si>
    <t>Buscar conselhos com líderes espirituais</t>
  </si>
  <si>
    <t>A03O01</t>
  </si>
  <si>
    <t>Organizar melhor meus estudos e prazos</t>
  </si>
  <si>
    <t>A03O02</t>
  </si>
  <si>
    <t>Melhorar minha participação nas aulas</t>
  </si>
  <si>
    <t>A03O03</t>
  </si>
  <si>
    <t>Cuidar do meu comportamento escolar</t>
  </si>
  <si>
    <t>A03O04</t>
  </si>
  <si>
    <t>Buscar ajuda quando tiver dificuldades</t>
  </si>
  <si>
    <t>A03O05</t>
  </si>
  <si>
    <t>Aumentar minha média em pelo menos uma disciplina</t>
  </si>
  <si>
    <t>A03O06</t>
  </si>
  <si>
    <t>Respeitar professores e colegas</t>
  </si>
  <si>
    <t>A03O07</t>
  </si>
  <si>
    <t>Evitar distrações em sala de aula</t>
  </si>
  <si>
    <t>A03O08</t>
  </si>
  <si>
    <t>Montar um plano de estudos realista</t>
  </si>
  <si>
    <t>A04O01</t>
  </si>
  <si>
    <t>Valorizar os verdadeiros amigos</t>
  </si>
  <si>
    <t>A04O02</t>
  </si>
  <si>
    <t>Ser mais presente nos momentos difíceis</t>
  </si>
  <si>
    <t>A04O03</t>
  </si>
  <si>
    <t>Dar bons conselhos quando for procurado</t>
  </si>
  <si>
    <t>A04O04</t>
  </si>
  <si>
    <t>Manter contato com amigos antigos</t>
  </si>
  <si>
    <t>A04O05</t>
  </si>
  <si>
    <t>Evitar fofocas e julgamentos</t>
  </si>
  <si>
    <t>A04O06</t>
  </si>
  <si>
    <t>Incluir colegas que ficam isolados</t>
  </si>
  <si>
    <t>A04O07</t>
  </si>
  <si>
    <t>Desenvolver amizades saudáveis</t>
  </si>
  <si>
    <t>A04O08</t>
  </si>
  <si>
    <t>Orar por meus amigos regularmente</t>
  </si>
  <si>
    <t>A05O01</t>
  </si>
  <si>
    <t>Participar de ações sociais ou voluntariado</t>
  </si>
  <si>
    <t>A05O02</t>
  </si>
  <si>
    <t>Cuidar do ambiente ao meu redor</t>
  </si>
  <si>
    <t>A05O03</t>
  </si>
  <si>
    <t>Ser respeitoso com todos, mesmo os diferentes</t>
  </si>
  <si>
    <t>A05O04</t>
  </si>
  <si>
    <t>Cumprir regras e responsabilidades públicas</t>
  </si>
  <si>
    <t>A05O05</t>
  </si>
  <si>
    <t>Tratar bem os vizinhos</t>
  </si>
  <si>
    <t>A05O06</t>
  </si>
  <si>
    <t>Ajudar idosos ou crianças quando possível</t>
  </si>
  <si>
    <t>A05O07</t>
  </si>
  <si>
    <t>Usar redes sociais com responsabilidade</t>
  </si>
  <si>
    <t>A05O08</t>
  </si>
  <si>
    <t>Representar bem minha fé e meus valores</t>
  </si>
  <si>
    <t>A06O01</t>
  </si>
  <si>
    <t>Me conhecer melhor e valorizar minhas qualidades</t>
  </si>
  <si>
    <t>A06O02</t>
  </si>
  <si>
    <t>Cuidar da minha saúde física</t>
  </si>
  <si>
    <t>A06O03</t>
  </si>
  <si>
    <t>Controlar meu tempo no celular e redes</t>
  </si>
  <si>
    <t>A06O04</t>
  </si>
  <si>
    <t>Aprender a lidar com minhas emoções</t>
  </si>
  <si>
    <t>A06O05</t>
  </si>
  <si>
    <t>Criar hábitos saudáveis (sono, alimentação)</t>
  </si>
  <si>
    <t>A06O06</t>
  </si>
  <si>
    <t>Buscar crescimento espiritual</t>
  </si>
  <si>
    <t>A06O07</t>
  </si>
  <si>
    <t>Evitar comparações e inveja</t>
  </si>
  <si>
    <t>A06O08</t>
  </si>
  <si>
    <t>Desenvolver um plano de vida com metas claras</t>
  </si>
  <si>
    <t>Código</t>
  </si>
  <si>
    <t>Objetivo</t>
  </si>
  <si>
    <t>Estratégia</t>
  </si>
  <si>
    <t>A01-O01-E01</t>
  </si>
  <si>
    <t>Reservar 15 minutos por dia para conversar com meus pais, sem celular ou distrações.</t>
  </si>
  <si>
    <t>A01-O01-E02</t>
  </si>
  <si>
    <t>Perguntar como foi o dia deles e escutar com atenção.</t>
  </si>
  <si>
    <t>A01-O01-E03</t>
  </si>
  <si>
    <t>Fazer perguntas sobre suas histórias e experiências de vida.</t>
  </si>
  <si>
    <t>A01-O01-E04</t>
  </si>
  <si>
    <t>Evitar respostas curtas ou monossilábicas durante as conversas.</t>
  </si>
  <si>
    <t>A01-O01-E05</t>
  </si>
  <si>
    <t>Agradecer quando eles me ouvirem ou me aconselharem.</t>
  </si>
  <si>
    <t>A01-O02-E01</t>
  </si>
  <si>
    <t>Arrumar minha cama todos os dias sem que precisem pedir.</t>
  </si>
  <si>
    <t>A01-O02-E02</t>
  </si>
  <si>
    <t>Lavar a louça ou ajudar na limpeza após as refeições.</t>
  </si>
  <si>
    <t>A01-O02-E03</t>
  </si>
  <si>
    <t>Criar um quadro de tarefas semanais com meus pais.</t>
  </si>
  <si>
    <t>A01-O02-E04</t>
  </si>
  <si>
    <t>Ajudar na organização da casa antes do sábado.</t>
  </si>
  <si>
    <t>A01-O02-E05</t>
  </si>
  <si>
    <t>Me oferecer para ajudar em algo nos dias mais corridos da família.</t>
  </si>
  <si>
    <t>A01-O03-E01</t>
  </si>
  <si>
    <t>Planejar uma noite em família com jogos ou filme por semana.</t>
  </si>
  <si>
    <t>A01-O03-E02</t>
  </si>
  <si>
    <t>Tomar café da manhã junto pelo menos 2 vezes por semana.</t>
  </si>
  <si>
    <t>A01-O03-E03</t>
  </si>
  <si>
    <t>Fazer um almoço especial com a família no fim de semana.</t>
  </si>
  <si>
    <t>A01-O03-E04</t>
  </si>
  <si>
    <t>Propor uma caminhada ou passeio juntos.</t>
  </si>
  <si>
    <t>A01-O03-E05</t>
  </si>
  <si>
    <t>Ficar presente nos momentos familiares sem me isolar.</t>
  </si>
  <si>
    <t>A01-O04-E01</t>
  </si>
  <si>
    <t>Contar até 10 antes de responder com raiva ou impaciência.</t>
  </si>
  <si>
    <t>A01-O04-E02</t>
  </si>
  <si>
    <t>Sair de perto quando perceber que posso perder a calma.</t>
  </si>
  <si>
    <t>A01-O04-E03</t>
  </si>
  <si>
    <t>Orar pedindo paciência antes de lidar com discussões.</t>
  </si>
  <si>
    <t>A01-O04-E04</t>
  </si>
  <si>
    <t>Focar no lado positivo dos meus irmãos ou parentes.</t>
  </si>
  <si>
    <t>A01-O04-E05</t>
  </si>
  <si>
    <t>Conversar calmamente após momentos de desentendimento.</t>
  </si>
  <si>
    <t>A01-O05-E01</t>
  </si>
  <si>
    <t>Dizer “obrigado” sempre que alguém fizer algo por mim.</t>
  </si>
  <si>
    <t>A01-O05-E02</t>
  </si>
  <si>
    <t>Escrever bilhetes de carinho e deixar pela casa.</t>
  </si>
  <si>
    <t>A01-O05-E03</t>
  </si>
  <si>
    <t>Orar agradecendo pela minha família.</t>
  </si>
  <si>
    <t>A01-O05-E04</t>
  </si>
  <si>
    <t>Fazer elogios sinceros a alguém da família toda semana.</t>
  </si>
  <si>
    <t>A01-O05-E05</t>
  </si>
  <si>
    <t>Preparar algo especial para um membro da família como surpresa.</t>
  </si>
  <si>
    <t>A01-O06-E01</t>
  </si>
  <si>
    <t>Respirar fundo e contar até 10 antes de entrar numa discussão.</t>
  </si>
  <si>
    <t>A01-O06-E02</t>
  </si>
  <si>
    <t>Evitar gritar ou levantar a voz, mesmo quando estiver certo.</t>
  </si>
  <si>
    <t>A01-O06-E03</t>
  </si>
  <si>
    <t>Ficar em silêncio por alguns minutos antes de responder algo tenso.</t>
  </si>
  <si>
    <t>A01-O06-E04</t>
  </si>
  <si>
    <t>Sair do ambiente e voltar depois, se for necessário me acalmar.</t>
  </si>
  <si>
    <t>A01-O06-E05</t>
  </si>
  <si>
    <t>Pedir desculpas quando eu exagerar em alguma resposta.</t>
  </si>
  <si>
    <t>A01-O07-E01</t>
  </si>
  <si>
    <t>Orar em voz alta com minha família pelo menos uma vez por semana.</t>
  </si>
  <si>
    <t>A01-O07-E02</t>
  </si>
  <si>
    <t>Sugerir um momento de louvor juntos aos sábados.</t>
  </si>
  <si>
    <t>A01-O07-E03</t>
  </si>
  <si>
    <t>Compartilhar um versículo ou reflexão nos cultos familiares.</t>
  </si>
  <si>
    <t>A01-O07-E04</t>
  </si>
  <si>
    <t>Orar pelo nome de cada membro da família durante a semana.</t>
  </si>
  <si>
    <t>A01-O07-E05</t>
  </si>
  <si>
    <t>Ajudar a organizar o culto familiar semanal.</t>
  </si>
  <si>
    <t>A01-O08-E01</t>
  </si>
  <si>
    <t>Anotar os horários combinados para evitar atrasos.</t>
  </si>
  <si>
    <t>A01-O08-E02</t>
  </si>
  <si>
    <t>Evitar discussões sobre regras, buscando diálogo com respeito.</t>
  </si>
  <si>
    <t>A01-O08-E03</t>
  </si>
  <si>
    <t>Demonstrar responsabilidade em compromissos familiares.</t>
  </si>
  <si>
    <t>A01-O08-E04</t>
  </si>
  <si>
    <t>Planejar minha rotina para evitar esquecer combinados.</t>
  </si>
  <si>
    <t>A01-O08-E05</t>
  </si>
  <si>
    <t>Evitar usar o celular fora do horário permitido pela família.</t>
  </si>
  <si>
    <t>A02-O01-E01</t>
  </si>
  <si>
    <t>Separar minha roupa e bíblia com antecedência para o culto.</t>
  </si>
  <si>
    <t>A02-O01-E02</t>
  </si>
  <si>
    <t>Dormir mais cedo no sábado para acordar disposto.</t>
  </si>
  <si>
    <t>A02-O01-E03</t>
  </si>
  <si>
    <t>Evitar compromissos que me impeçam de ir à igreja.</t>
  </si>
  <si>
    <t>A02-O01-E04</t>
  </si>
  <si>
    <t>Anotar mensagens ou aprendizados do culto.</t>
  </si>
  <si>
    <t>A02-O01-E05</t>
  </si>
  <si>
    <t>Convidar alguém para ir comigo quando possível.</t>
  </si>
  <si>
    <t>A02-O02-E01</t>
  </si>
  <si>
    <t>Participar das reuniões do ministério de jovens.</t>
  </si>
  <si>
    <t>A02-O02-E02</t>
  </si>
  <si>
    <t>Contribuir com ideias para as programações.</t>
  </si>
  <si>
    <t>A02-O02-E03</t>
  </si>
  <si>
    <t>Se oferecer para ajudar nos eventos.</t>
  </si>
  <si>
    <t>A02-O02-E04</t>
  </si>
  <si>
    <t>Evitar atrasos e faltas sem aviso.</t>
  </si>
  <si>
    <t>A02-O02-E05</t>
  </si>
  <si>
    <t>Orar pelo grupo antes dos encontros.</t>
  </si>
  <si>
    <t>A02-O03-E01</t>
  </si>
  <si>
    <t>Descobrir em que área posso servir melhor.</t>
  </si>
  <si>
    <t>A02-O03-E02</t>
  </si>
  <si>
    <t>Conversar com o líder para me voluntariar.</t>
  </si>
  <si>
    <t>A02-O03-E03</t>
  </si>
  <si>
    <t>Ir aos ensaios e reuniões com regularidade.</t>
  </si>
  <si>
    <t>A02-O03-E04</t>
  </si>
  <si>
    <t>Realizar as tarefas com alegria e pontualidade.</t>
  </si>
  <si>
    <t>A02-O03-E05</t>
  </si>
  <si>
    <t>Trabalhar em equipe com respeito e humildade.</t>
  </si>
  <si>
    <t>A02-O04-E01</t>
  </si>
  <si>
    <t>Criar o hábito de leitura bíblica pela manhã.</t>
  </si>
  <si>
    <t>A02-O04-E02</t>
  </si>
  <si>
    <t>Escolher um plano de leitura diário.</t>
  </si>
  <si>
    <t>A02-O04-E03</t>
  </si>
  <si>
    <t>Anotar versículos que tocam meu coração.</t>
  </si>
  <si>
    <t>A02-O04-E04</t>
  </si>
  <si>
    <t>Separar um lugar tranquilo para orar diariamente.</t>
  </si>
  <si>
    <t>A02-O04-E05</t>
  </si>
  <si>
    <t>Evitar distrações durante a leitura e oração.</t>
  </si>
  <si>
    <t>A02-O05-E01</t>
  </si>
  <si>
    <t>Falar de Deus naturalmente com os amigos.</t>
  </si>
  <si>
    <t>A02-O05-E02</t>
  </si>
  <si>
    <t>Compartilhar um verso nas redes sociais.</t>
  </si>
  <si>
    <t>A02-O05-E03</t>
  </si>
  <si>
    <t>Entregar folhetos ou convites da igreja.</t>
  </si>
  <si>
    <t>A02-O05-E04</t>
  </si>
  <si>
    <t>Dar bom exemplo nos meus comportamentos.</t>
  </si>
  <si>
    <t>A02-O05-E05</t>
  </si>
  <si>
    <t>Responder dúvidas com paciência e amor.</t>
  </si>
  <si>
    <t>A02-O06-E01</t>
  </si>
  <si>
    <t>Dar boas-vindas a quem está visitando.</t>
  </si>
  <si>
    <t>A02-O06-E02</t>
  </si>
  <si>
    <t>Sentar com visitantes para incluí-los.</t>
  </si>
  <si>
    <t>A02-O06-E03</t>
  </si>
  <si>
    <t>Apresentar a igreja e outras pessoas.</t>
  </si>
  <si>
    <t>A02-O06-E04</t>
  </si>
  <si>
    <t>Convidar o visitante para voltar.</t>
  </si>
  <si>
    <t>A02-O06-E05</t>
  </si>
  <si>
    <t>Perguntar como posso orar por ele(a).</t>
  </si>
  <si>
    <t>A02-O07-E01</t>
  </si>
  <si>
    <t>Chegar com 10 minutos de antecedência.</t>
  </si>
  <si>
    <t>A02-O07-E02</t>
  </si>
  <si>
    <t>Anotar meus compromissos na igreja.</t>
  </si>
  <si>
    <t>A02-O07-E03</t>
  </si>
  <si>
    <t>Evitar marcar outras atividades no mesmo horário.</t>
  </si>
  <si>
    <t>A02-O07-E04</t>
  </si>
  <si>
    <t>Confirmar presença nas atividades com antecedência.</t>
  </si>
  <si>
    <t>A02-O07-E05</t>
  </si>
  <si>
    <t>Ser exemplo de responsabilidade no grupo.</t>
  </si>
  <si>
    <t>A02-O08-E01</t>
  </si>
  <si>
    <t>Agendar conversas com líderes da igreja.</t>
  </si>
  <si>
    <t>A02-O08-E02</t>
  </si>
  <si>
    <t>Ouvir conselhos sem resistência.</t>
  </si>
  <si>
    <t>A02-O08-E03</t>
  </si>
  <si>
    <t>Perguntar como posso melhorar espiritualmente.</t>
  </si>
  <si>
    <t>A02-O08-E04</t>
  </si>
  <si>
    <t>Ser transparente sobre dúvidas ou lutas pessoais.</t>
  </si>
  <si>
    <t>A02-O08-E05</t>
  </si>
  <si>
    <t>Aceitar correções com humildade.</t>
  </si>
  <si>
    <t>A03-O01-E01</t>
  </si>
  <si>
    <t>Usar agenda ou app para marcar provas e prazos.</t>
  </si>
  <si>
    <t>A03-O01-E02</t>
  </si>
  <si>
    <t>Separar 1h por dia para revisar conteúdos.</t>
  </si>
  <si>
    <t>A03-O01-E03</t>
  </si>
  <si>
    <t>Organizar meu material e cadernos.</t>
  </si>
  <si>
    <t>A03-O01-E04</t>
  </si>
  <si>
    <t>Criar um cronograma de estudos por matéria.</t>
  </si>
  <si>
    <t>A03-O01-E05</t>
  </si>
  <si>
    <t>Estudar em local sem distrações.</t>
  </si>
  <si>
    <t>A03-O02-E01</t>
  </si>
  <si>
    <t>Levantar a mão para responder ao menos uma vez por aula.</t>
  </si>
  <si>
    <t>A03-O02-E02</t>
  </si>
  <si>
    <t>Fazer perguntas sempre que tiver dúvida.</t>
  </si>
  <si>
    <t>A03-O02-E03</t>
  </si>
  <si>
    <t>Participar das atividades em grupo com dedicação.</t>
  </si>
  <si>
    <t>A03-O02-E04</t>
  </si>
  <si>
    <t>Anotar os conteúdos explicados pelo professor.</t>
  </si>
  <si>
    <t>A03-O02-E05</t>
  </si>
  <si>
    <t>Evitar conversas paralelas em sala de aula.</t>
  </si>
  <si>
    <t>A03-O03-E01</t>
  </si>
  <si>
    <t>Cumprir as regras da escola com atenção.</t>
  </si>
  <si>
    <t>A03-O03-E02</t>
  </si>
  <si>
    <t>Respeitar o tempo de fala do professor.</t>
  </si>
  <si>
    <t>A03-O03-E03</t>
  </si>
  <si>
    <t>Evitar discussões ou provocações com colegas.</t>
  </si>
  <si>
    <t>A03-O03-E04</t>
  </si>
  <si>
    <t>Ser pontual na entrada e troca de aulas.</t>
  </si>
  <si>
    <t>A03-O03-E05</t>
  </si>
  <si>
    <t>Manter minha postura adequada em sala.</t>
  </si>
  <si>
    <t>A03-O04-E01</t>
  </si>
  <si>
    <t>Falar com o professor quando não entender algo.</t>
  </si>
  <si>
    <t>A03-O04-E02</t>
  </si>
  <si>
    <t>Procurar um colega para me ajudar nos estudos.</t>
  </si>
  <si>
    <t>A03-O04-E03</t>
  </si>
  <si>
    <t>Participar de grupos de reforço, se houver.</t>
  </si>
  <si>
    <t>A03-O04-E04</t>
  </si>
  <si>
    <t>Pedir ajuda aos pais ou responsáveis.</t>
  </si>
  <si>
    <t>A03-O04-E05</t>
  </si>
  <si>
    <t>Aceitar que preciso melhorar e agir para isso.</t>
  </si>
  <si>
    <t>A03-O05-E01</t>
  </si>
  <si>
    <t>Identificar minha maior dificuldade escolar.</t>
  </si>
  <si>
    <t>A03-O05-E02</t>
  </si>
  <si>
    <t>Fazer exercícios extras dessa disciplina.</t>
  </si>
  <si>
    <t>A03-O05-E03</t>
  </si>
  <si>
    <t>Assistir vídeos educativos sobre o tema.</t>
  </si>
  <si>
    <t>A03-O05-E04</t>
  </si>
  <si>
    <t>Pedir explicações adicionais ao professor.</t>
  </si>
  <si>
    <t>A03-O05-E05</t>
  </si>
  <si>
    <t>Dedicar mais tempo no meu plano de estudos.</t>
  </si>
  <si>
    <t>A03-O06-E01</t>
  </si>
  <si>
    <t>Evitar falar mal de professores ou colegas.</t>
  </si>
  <si>
    <t>A03-O06-E02</t>
  </si>
  <si>
    <t>Obedecer instruções sem reclamar.</t>
  </si>
  <si>
    <t>A03-O06-E03</t>
  </si>
  <si>
    <t>Ajudar colegas em dificuldades sem zombar.</t>
  </si>
  <si>
    <t>A03-O06-E04</t>
  </si>
  <si>
    <t>Ser gentil ao pedir ou oferecer ajuda.</t>
  </si>
  <si>
    <t>A03-O06-E05</t>
  </si>
  <si>
    <t>Fazer a minha parte sem esperar elogios.</t>
  </si>
  <si>
    <t>A03-O07-E01</t>
  </si>
  <si>
    <t>Deixar o celular no modo silencioso durante as aulas.</t>
  </si>
  <si>
    <t>A03-O07-E02</t>
  </si>
  <si>
    <t>Guardar o celular sem ficar conferindo mensagens.</t>
  </si>
  <si>
    <t>A03-O07-E03</t>
  </si>
  <si>
    <t>Manter o foco no que o professor está explicando.</t>
  </si>
  <si>
    <t>A03-O07-E04</t>
  </si>
  <si>
    <t>Ignorar distrações de colegas durante o estudo.</t>
  </si>
  <si>
    <t>A03-O07-E05</t>
  </si>
  <si>
    <t>Evitar brincadeiras que atrapalhem os outros.</t>
  </si>
  <si>
    <t>A03-O08-E01</t>
  </si>
  <si>
    <t>Listar os conteúdos de cada disciplina.</t>
  </si>
  <si>
    <t>A03-O08-E02</t>
  </si>
  <si>
    <t>Distribuir os conteúdos ao longo da semana.</t>
  </si>
  <si>
    <t>A03-O08-E03</t>
  </si>
  <si>
    <t>Definir metas diárias e semanais.</t>
  </si>
  <si>
    <t>A03-O08-E04</t>
  </si>
  <si>
    <t>Revisar o plano a cada domingo.</t>
  </si>
  <si>
    <t>A03-O08-E05</t>
  </si>
  <si>
    <t>Adaptar o cronograma conforme minha evolução.</t>
  </si>
  <si>
    <t>A04-O01-E01</t>
  </si>
  <si>
    <t>Entrar em contato com quem me apoia de verdade.</t>
  </si>
  <si>
    <t>A04-O01-E02</t>
  </si>
  <si>
    <t>Agradecer os amigos que estão sempre por perto.</t>
  </si>
  <si>
    <t>A04-O01-E03</t>
  </si>
  <si>
    <t>Investir tempo com os amigos que me edificam.</t>
  </si>
  <si>
    <t>A04-O01-E04</t>
  </si>
  <si>
    <t>Evitar amizades que me afastam de Deus.</t>
  </si>
  <si>
    <t>A04-O01-E05</t>
  </si>
  <si>
    <t>Manter distância de quem só aparece em festas.</t>
  </si>
  <si>
    <t>A04-O02-E01</t>
  </si>
  <si>
    <t>Perguntar como o amigo está de verdade.</t>
  </si>
  <si>
    <t>A04-O02-E02</t>
  </si>
  <si>
    <t>Estar disponível para ouvir sem julgar.</t>
  </si>
  <si>
    <t>A04-O02-E03</t>
  </si>
  <si>
    <t>Mandar uma mensagem de apoio sincero.</t>
  </si>
  <si>
    <t>A04-O02-E04</t>
  </si>
  <si>
    <t>Ajudar em tarefas ou momentos difíceis.</t>
  </si>
  <si>
    <t>A04-O02-E05</t>
  </si>
  <si>
    <t>Orar com e por ele em situações difíceis.</t>
  </si>
  <si>
    <t>A04-O03-E01</t>
  </si>
  <si>
    <t>Evitar dar conselhos sem escutar tudo antes.</t>
  </si>
  <si>
    <t>A04-O03-E02</t>
  </si>
  <si>
    <t>Falar com sabedoria e sinceridade.</t>
  </si>
  <si>
    <t>A04-O03-E03</t>
  </si>
  <si>
    <t>Dar conselhos baseados na Bíblia e no amor.</t>
  </si>
  <si>
    <t>A04-O03-E04</t>
  </si>
  <si>
    <t>Ser paciente quando o amigo não seguir o conselho.</t>
  </si>
  <si>
    <t>A04-O03-E05</t>
  </si>
  <si>
    <t>Orar antes de aconselhar alguém.</t>
  </si>
  <si>
    <t>A04-O04-E01</t>
  </si>
  <si>
    <t>Enviar uma mensagem para um amigo antigo.</t>
  </si>
  <si>
    <t>A04-O04-E02</t>
  </si>
  <si>
    <t>Marcar um encontro ou chamada de vídeo.</t>
  </si>
  <si>
    <t>A04-O04-E03</t>
  </si>
  <si>
    <t>Relembrar momentos bons juntos.</t>
  </si>
  <si>
    <t>A04-O04-E04</t>
  </si>
  <si>
    <t>Mostrar que ele(a) ainda é importante para mim.</t>
  </si>
  <si>
    <t>A04-O04-E05</t>
  </si>
  <si>
    <t>Criar um momento novo de conexão.</t>
  </si>
  <si>
    <t>A04-O05-E01</t>
  </si>
  <si>
    <t>Evitar falar mal de quem não está presente.</t>
  </si>
  <si>
    <t>A04-O05-E02</t>
  </si>
  <si>
    <t>Mudar de assunto quando começarem fofocas.</t>
  </si>
  <si>
    <t>A04-O05-E03</t>
  </si>
  <si>
    <t>Repreender com carinho quando necessário.</t>
  </si>
  <si>
    <t>A04-O05-E04</t>
  </si>
  <si>
    <t>Evitar espalhar algo que ouvi sem certeza.</t>
  </si>
  <si>
    <t>A04-O05-E05</t>
  </si>
  <si>
    <t>Ficar em silêncio ao invés de julgar.</t>
  </si>
  <si>
    <t>A04-O06-E01</t>
  </si>
  <si>
    <t>Convidar um colega excluído para se juntar a mim.</t>
  </si>
  <si>
    <t>A04-O06-E02</t>
  </si>
  <si>
    <t>Fazer perguntas gentis para incluí-lo(a).</t>
  </si>
  <si>
    <t>A04-O06-E03</t>
  </si>
  <si>
    <t>Apresentá-lo(a) ao grupo com simpatia.</t>
  </si>
  <si>
    <t>A04-O06-E04</t>
  </si>
  <si>
    <t>Estar ao lado dele(a) em momentos desconfortáveis.</t>
  </si>
  <si>
    <t>A04-O06-E05</t>
  </si>
  <si>
    <t>Evitar apelidos ou piadas de exclusão.</t>
  </si>
  <si>
    <t>A04-O07-E01</t>
  </si>
  <si>
    <t>Escolher amizades que respeitam meus valores.</t>
  </si>
  <si>
    <t>A04-O07-E02</t>
  </si>
  <si>
    <t>Ficar atento aos sinais de amizade tóxica.</t>
  </si>
  <si>
    <t>A04-O07-E03</t>
  </si>
  <si>
    <t>Valorizar quem me incentiva a crescer.</t>
  </si>
  <si>
    <t>A04-O07-E04</t>
  </si>
  <si>
    <t>Orar pedindo a Deus boas amizades.</t>
  </si>
  <si>
    <t>A04-O07-E05</t>
  </si>
  <si>
    <t>Não abrir mão de meus princípios para agradar.</t>
  </si>
  <si>
    <t>A04-O08-E01</t>
  </si>
  <si>
    <t>Criar uma lista de amigos para orar por eles.</t>
  </si>
  <si>
    <t>A04-O08-E02</t>
  </si>
  <si>
    <t>Interceder por um amigo específico toda semana.</t>
  </si>
  <si>
    <t>A04-O08-E03</t>
  </si>
  <si>
    <t>Orar antes de conversar com um amigo em crise.</t>
  </si>
  <si>
    <t>A04-O08-E04</t>
  </si>
  <si>
    <t>Orar agradecendo pelos bons amigos que tenho.</t>
  </si>
  <si>
    <t>A04-O08-E05</t>
  </si>
  <si>
    <t>Chamar um amigo para orarmos juntos.</t>
  </si>
  <si>
    <t>A05-O01-E01</t>
  </si>
  <si>
    <t>Participar de mutirões ou campanhas locais.</t>
  </si>
  <si>
    <t>A05-O01-E02</t>
  </si>
  <si>
    <t>Separar roupas ou alimentos para doar.</t>
  </si>
  <si>
    <t>A05-O01-E03</t>
  </si>
  <si>
    <t>Me envolver em projetos sociais da igreja ou escola.</t>
  </si>
  <si>
    <t>A05-O01-E04</t>
  </si>
  <si>
    <t>Oferecer meu tempo em ações voluntárias.</t>
  </si>
  <si>
    <t>A05-O01-E05</t>
  </si>
  <si>
    <t>Fazer parte de um grupo que ajuda outras pessoas.</t>
  </si>
  <si>
    <t>A05-O02-E01</t>
  </si>
  <si>
    <t>Evitar jogar lixo na rua.</t>
  </si>
  <si>
    <t>A05-O02-E02</t>
  </si>
  <si>
    <t>Plantar algo no meu bairro ou escola.</t>
  </si>
  <si>
    <t>A05-O02-E03</t>
  </si>
  <si>
    <t>Evitar desperdício de água e energia.</t>
  </si>
  <si>
    <t>A05-O02-E04</t>
  </si>
  <si>
    <t>Falar com respeito em ambientes públicos.</t>
  </si>
  <si>
    <t>A05-O02-E05</t>
  </si>
  <si>
    <t>Dar exemplo de cuidado com o meio ambiente.</t>
  </si>
  <si>
    <t>A05-O03-E01</t>
  </si>
  <si>
    <t>Tratar todos com educação, mesmo os diferentes.</t>
  </si>
  <si>
    <t>A05-O03-E02</t>
  </si>
  <si>
    <t>Evitar deboches ou piadas ofensivas.</t>
  </si>
  <si>
    <t>A05-O03-E03</t>
  </si>
  <si>
    <t>Ouvir com atenção ideias diferentes da minha.</t>
  </si>
  <si>
    <t>A05-O03-E04</t>
  </si>
  <si>
    <t>Respeitar quem tem outra fé ou opinião.</t>
  </si>
  <si>
    <t>A05-O03-E05</t>
  </si>
  <si>
    <t>Promover a paz, não o conflito.</t>
  </si>
  <si>
    <t>A05-O04-E01</t>
  </si>
  <si>
    <t>Cumprir horários de silêncio no prédio ou bairro.</t>
  </si>
  <si>
    <t>A05-O04-E02</t>
  </si>
  <si>
    <t>Respeitar regras em espaços públicos.</t>
  </si>
  <si>
    <t>A05-O04-E03</t>
  </si>
  <si>
    <t>Ajudar a manter a ordem em filas e eventos.</t>
  </si>
  <si>
    <t>A05-O04-E04</t>
  </si>
  <si>
    <t>Participar das decisões do bairro, quando possível.</t>
  </si>
  <si>
    <t>A05-O04-E05</t>
  </si>
  <si>
    <t>Ser exemplo de cidadania no dia a dia.</t>
  </si>
  <si>
    <t>A05-O05-E01</t>
  </si>
  <si>
    <t>Dar bom dia aos vizinhos com gentileza.</t>
  </si>
  <si>
    <t>A05-O05-E02</t>
  </si>
  <si>
    <t>Ajudar vizinhos com sacolas ou tarefas simples.</t>
  </si>
  <si>
    <t>A05-O05-E03</t>
  </si>
  <si>
    <t>Evitar barulhos excessivos em casa.</t>
  </si>
  <si>
    <t>A05-O05-E04</t>
  </si>
  <si>
    <t>Oferecer ajuda em pequenas emergências.</t>
  </si>
  <si>
    <t>A05-O05-E05</t>
  </si>
  <si>
    <t>Ser respeitoso com todos no convívio local.</t>
  </si>
  <si>
    <t>A05-O06-E01</t>
  </si>
  <si>
    <t>Ajudar idosos a atravessar a rua ou carregar sacolas.</t>
  </si>
  <si>
    <t>A05-O06-E02</t>
  </si>
  <si>
    <t>Ceder lugar no transporte público.</t>
  </si>
  <si>
    <t>A05-O06-E03</t>
  </si>
  <si>
    <t>Brincar com crianças da vizinhança com respeito.</t>
  </si>
  <si>
    <t>A05-O06-E04</t>
  </si>
  <si>
    <t>Evitar expor ou debochar de idosos/crianças.</t>
  </si>
  <si>
    <t>A05-O06-E05</t>
  </si>
  <si>
    <t>Cumprimentar com alegria os mais velhos.</t>
  </si>
  <si>
    <t>A05-O07-E01</t>
  </si>
  <si>
    <t>Evitar brigas e comentários agressivos online.</t>
  </si>
  <si>
    <t>A05-O07-E02</t>
  </si>
  <si>
    <t>Pensar antes de publicar algo nas redes.</t>
  </si>
  <si>
    <t>A05-O07-E03</t>
  </si>
  <si>
    <t>Repostar conteúdo que ajude ou edifique alguém.</t>
  </si>
  <si>
    <t>A05-O07-E04</t>
  </si>
  <si>
    <t>Não alimentar discussões inúteis em grupos.</t>
  </si>
  <si>
    <t>A05-O07-E05</t>
  </si>
  <si>
    <t>Usar as redes para espalhar valores positivos.</t>
  </si>
  <si>
    <t>A05-O08-E01</t>
  </si>
  <si>
    <t>Demonstrar fé nas atitudes, não só em palavras.</t>
  </si>
  <si>
    <t>A05-O08-E02</t>
  </si>
  <si>
    <t>Evitar comportamentos que envergonham minha fé.</t>
  </si>
  <si>
    <t>A05-O08-E03</t>
  </si>
  <si>
    <t>Ser honesto, mesmo quando ninguém está vendo.</t>
  </si>
  <si>
    <t>A05-O08-E04</t>
  </si>
  <si>
    <t>Mostrar respeito, gentileza e humildade com todos.</t>
  </si>
  <si>
    <t>A05-O08-E05</t>
  </si>
  <si>
    <t>Ser luz onde estiver, como Jesus ensinou.</t>
  </si>
  <si>
    <t>A06-O01-E01</t>
  </si>
  <si>
    <t>Listar 5 qualidades minhas e agradecer a Deus.</t>
  </si>
  <si>
    <t>A06-O01-E02</t>
  </si>
  <si>
    <t>Pedir feedback sincero de alguém de confiança.</t>
  </si>
  <si>
    <t>A06-O01-E03</t>
  </si>
  <si>
    <t>Evitar me comparar com outras pessoas.</t>
  </si>
  <si>
    <t>A06-O01-E04</t>
  </si>
  <si>
    <t>Cuidar da minha autoestima com bons hábitos.</t>
  </si>
  <si>
    <t>A06-O01-E05</t>
  </si>
  <si>
    <t>Escrever metas para meu desenvolvimento pessoal.</t>
  </si>
  <si>
    <t>A06-O02-E01</t>
  </si>
  <si>
    <t>Beber mais água e dormir bem todos os dias.</t>
  </si>
  <si>
    <t>A06-O02-E02</t>
  </si>
  <si>
    <t>Evitar exageros em doces e fast food.</t>
  </si>
  <si>
    <t>A06-O02-E03</t>
  </si>
  <si>
    <t>Fazer alguma atividade física toda semana.</t>
  </si>
  <si>
    <t>A06-O02-E04</t>
  </si>
  <si>
    <t>Cuidar da higiene pessoal diariamente.</t>
  </si>
  <si>
    <t>A06-O02-E05</t>
  </si>
  <si>
    <t>Evitar dormir muito tarde sem necessidade.</t>
  </si>
  <si>
    <t>A06-O03-E01</t>
  </si>
  <si>
    <t>Definir horários para uso de celular/redes sociais.</t>
  </si>
  <si>
    <t>A06-O03-E02</t>
  </si>
  <si>
    <t>Usar apps de controle de tempo no celular.</t>
  </si>
  <si>
    <t>A06-O03-E03</t>
  </si>
  <si>
    <t>Desligar notificações durante o estudo ou culto.</t>
  </si>
  <si>
    <t>A06-O03-E04</t>
  </si>
  <si>
    <t>Evitar olhar o celular logo ao acordar.</t>
  </si>
  <si>
    <t>A06-O03-E05</t>
  </si>
  <si>
    <t>Ficar 1h por dia sem tecnologia, focando em mim.</t>
  </si>
  <si>
    <t>A06-O04-E01</t>
  </si>
  <si>
    <t>Nomear o que estou sentindo ao invés de reprimir.</t>
  </si>
  <si>
    <t>A06-O04-E02</t>
  </si>
  <si>
    <t>Falar com alguém de confiança sobre o que sinto.</t>
  </si>
  <si>
    <t>A06-O04-E03</t>
  </si>
  <si>
    <t>Orar e pedir a Deus força para lidar com emoções.</t>
  </si>
  <si>
    <t>A06-O04-E04</t>
  </si>
  <si>
    <t>Escrever em um diário quando estiver confuso.</t>
  </si>
  <si>
    <t>A06-O04-E05</t>
  </si>
  <si>
    <t>Aprender a aceitar minhas falhas sem culpa.</t>
  </si>
  <si>
    <t>A06-O05-E01</t>
  </si>
  <si>
    <t>Dormir 8h por noite com rotina de horário.</t>
  </si>
  <si>
    <t>A06-O05-E02</t>
  </si>
  <si>
    <t>Trocar refrigerantes por suco natural.</t>
  </si>
  <si>
    <t>A06-O05-E03</t>
  </si>
  <si>
    <t>Fazer 3 refeições saudáveis por dia.</t>
  </si>
  <si>
    <t>A06-O05-E04</t>
  </si>
  <si>
    <t>Evitar telas antes de dormir.</t>
  </si>
  <si>
    <t>A06-O05-E05</t>
  </si>
  <si>
    <t>Começar o dia com um momento de oração e água.</t>
  </si>
  <si>
    <t>A06-O06-E01</t>
  </si>
  <si>
    <t>Ter um tempo diário de oração e leitura bíblica.</t>
  </si>
  <si>
    <t>A06-O06-E02</t>
  </si>
  <si>
    <t>Anotar os aprendizados espirituais da semana.</t>
  </si>
  <si>
    <t>A06-O06-E03</t>
  </si>
  <si>
    <t>Participar de um grupo de discipulado ou célula.</t>
  </si>
  <si>
    <t>A06-O06-E04</t>
  </si>
  <si>
    <t>Praticar o perdão e a gratidão.</t>
  </si>
  <si>
    <t>A06-O06-E05</t>
  </si>
  <si>
    <t>Colocar Deus em primeiro lugar nos meus planos.</t>
  </si>
  <si>
    <t>A06-O07-E01</t>
  </si>
  <si>
    <t>Agradecer a Deus por quem eu sou.</t>
  </si>
  <si>
    <t>A06-O07-E02</t>
  </si>
  <si>
    <t>Desinstalar apps que me causam comparação.</t>
  </si>
  <si>
    <t>A06-O07-E03</t>
  </si>
  <si>
    <t>Evitar seguir perfis que geram inveja ou tristeza.</t>
  </si>
  <si>
    <t>A06-O07-E04</t>
  </si>
  <si>
    <t>Focar no meu crescimento e não na aparência alheia.</t>
  </si>
  <si>
    <t>A06-O07-E05</t>
  </si>
  <si>
    <t>Reconhecer minhas conquistas, por menores que sejam.</t>
  </si>
  <si>
    <t>A06-O08-E01</t>
  </si>
  <si>
    <t>Escrever onde quero estar em 1, 5 e 10 anos.</t>
  </si>
  <si>
    <t>A06-O08-E02</t>
  </si>
  <si>
    <t>Dividir minhas metas em passos menores.</t>
  </si>
  <si>
    <t>A06-O08-E03</t>
  </si>
  <si>
    <t>Compartilhar meu plano com um mentor ou amigo.</t>
  </si>
  <si>
    <t>A06-O08-E04</t>
  </si>
  <si>
    <t>Estabelecer prazos realistas para cada meta.</t>
  </si>
  <si>
    <t>A06-O08-E05</t>
  </si>
  <si>
    <t>Avaliar mensalmente se estou no caminho certo.</t>
  </si>
  <si>
    <t>Data</t>
  </si>
  <si>
    <t>Código Estratégia</t>
  </si>
  <si>
    <t>Descrição da Estratégia</t>
  </si>
  <si>
    <t>Resultado</t>
  </si>
  <si>
    <t>Pontos Ganhos</t>
  </si>
  <si>
    <t>Cod.Objetivo (automático)</t>
  </si>
  <si>
    <t>Áreas</t>
  </si>
  <si>
    <t>Familia</t>
  </si>
  <si>
    <t>Eu_mesmo</t>
  </si>
  <si>
    <t>Melhorar_a_comunicação_com_meus_pais</t>
  </si>
  <si>
    <t>Ajudar_nas_tarefas_de_casa_com_regularidade</t>
  </si>
  <si>
    <t>Passar_tempo_de_qualidade_com_minha_familia</t>
  </si>
  <si>
    <t>Ser_mais_paciente_com_meus_irmãos_ou_parentes</t>
  </si>
  <si>
    <t>Expressar_gratidão_e_carinho_dentro_de_casa</t>
  </si>
  <si>
    <t>Evitar_discussões_desnecessarias</t>
  </si>
  <si>
    <t>Orar_com_minha_familia_regularmente</t>
  </si>
  <si>
    <t>Respeitar_os_horarios_e_regras_do_lar</t>
  </si>
  <si>
    <t>Frequentar_os_cultos_com_regularidade</t>
  </si>
  <si>
    <t>Participar_ativamente_do_ministerio_de_jovens</t>
  </si>
  <si>
    <t>Servir_em_algum_ministerio_da_igreja</t>
  </si>
  <si>
    <t>Orar_e_ler_a_Biblia_diariamente</t>
  </si>
  <si>
    <t>Testemunhar_minha_fe_com_sabedoria</t>
  </si>
  <si>
    <t>Apoiar_os_novos_membros_e_visitantes</t>
  </si>
  <si>
    <t>Ser_pontual_e_comprometido_nas_atividades</t>
  </si>
  <si>
    <t>Buscar_conselhos_com_lideres_espirituais</t>
  </si>
  <si>
    <t>Organizar_melhor_meus_estudos_e_prazos</t>
  </si>
  <si>
    <t>Melhorar_minha_participação_nas_aulas</t>
  </si>
  <si>
    <t>Cuidar_do_meu_comportamento_escolar</t>
  </si>
  <si>
    <t>Buscar_ajuda_quando_tiver_dificuldades</t>
  </si>
  <si>
    <t>Aumentar_minha_media_em_pelo_menos_uma_disciplina</t>
  </si>
  <si>
    <t>Respeitar_professores_e_colegas</t>
  </si>
  <si>
    <t>Evitar_distrações_em_sala_de_aula</t>
  </si>
  <si>
    <t>Montar_um_plano_de_estudos_realista</t>
  </si>
  <si>
    <t>Valorizar_os_verdadeiros_amigos</t>
  </si>
  <si>
    <t>Ser_mais_presente_nos_momentos_dificeis</t>
  </si>
  <si>
    <t>Dar_bons_conselhos_quando_for_procurado</t>
  </si>
  <si>
    <t>Manter_contato_com_amigos_antigos</t>
  </si>
  <si>
    <t>Evitar_fofocas_e_julgamentos</t>
  </si>
  <si>
    <t>Incluir_colegas_que_ficam_isolados</t>
  </si>
  <si>
    <t>Desenvolver_amizades_saudaveis</t>
  </si>
  <si>
    <t>Orar_por_meus_amigos_regularmente</t>
  </si>
  <si>
    <t>Participar_de_ações_sociais_ou_voluntariado</t>
  </si>
  <si>
    <t>Cuidar_do_ambiente_ao_meu_redor</t>
  </si>
  <si>
    <t>Ser_respeitoso_com_todos,_mesmo_os_diferentes</t>
  </si>
  <si>
    <t>Cumprir_regras_e_responsabilidades_publicas</t>
  </si>
  <si>
    <t>Tratar_bem_os_vizinhos</t>
  </si>
  <si>
    <t>Ajudar_idosos_ou_crianças_quando_possivel</t>
  </si>
  <si>
    <t>Usar_redes_sociais_com_responsabilidade</t>
  </si>
  <si>
    <t>Representar_bem_minha_fe_e_meus_valores</t>
  </si>
  <si>
    <t>Me_conhecer_melhor_e_valorizar_minhas_qualidades</t>
  </si>
  <si>
    <t>Cuidar_da_minha_saude_fisica</t>
  </si>
  <si>
    <t>Controlar_meu_tempo_no_celular_e_redes</t>
  </si>
  <si>
    <t>Aprender_a_lidar_com_minhas_emoções</t>
  </si>
  <si>
    <t>Criar_habitos_saudaveis_(sono,_alimentação)</t>
  </si>
  <si>
    <t>Buscar_crescimento_espiritual</t>
  </si>
  <si>
    <t>Evitar_comparações_e_inveja</t>
  </si>
  <si>
    <t>Desenvolver_um_plano_de_vida_com_metas_claras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</si>
</sst>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25">
      <c r="A2" t="s">
        <v>18</v>
      </c>
      <c r="B2">
        <v>5</v>
      </c>
      <c r="C2">
        <v>2</v>
      </c>
      <c r="D2">
        <v>70</v>
      </c>
    </row>
    <row r="3" spans="1:4" x14ac:dyDescent="0.25">
      <c r="A3" t="s">
        <v>19</v>
      </c>
      <c r="B3">
        <v>6</v>
      </c>
      <c r="C3">
        <v>1</v>
      </c>
      <c r="D3">
        <v>85</v>
      </c>
    </row>
    <row r="4" spans="1:4" x14ac:dyDescent="0.25">
      <c r="A4" t="s">
        <v>20</v>
      </c>
      <c r="B4">
        <v>7</v>
      </c>
      <c r="C4">
        <v>0</v>
      </c>
      <c r="D4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sheetData>
    <row r="1" spans="1:2" x14ac:dyDescent="0.25">
      <c r="A1" s="1" t="s">
        <v>21</v>
      </c>
      <c r="B1" s="1">
        <v>255</v>
      </c>
    </row>
    <row r="2" spans="1:2" x14ac:dyDescent="0.25">
      <c r="A2" t="s">
        <v>22</v>
      </c>
      <c r="B2" t="s">
        <v>23</v>
      </c>
    </row>
    <row r="4" spans="1:2" x14ac:dyDescent="0.25">
      <c r="A4" t="s">
        <v>24</v>
      </c>
      <c r="B4" t="s">
        <v>25</v>
      </c>
    </row>
    <row r="5" spans="1:2" x14ac:dyDescent="0.25">
      <c r="A5" t="s">
        <v>26</v>
      </c>
      <c r="B5">
        <v>0</v>
      </c>
    </row>
    <row r="6" spans="1:2" x14ac:dyDescent="0.25">
      <c r="A6" t="s">
        <v>27</v>
      </c>
      <c r="B6">
        <v>100</v>
      </c>
    </row>
    <row r="7" spans="1:2" x14ac:dyDescent="0.25">
      <c r="A7" t="s">
        <v>23</v>
      </c>
      <c r="B7">
        <v>200</v>
      </c>
    </row>
    <row r="8" spans="1:2" x14ac:dyDescent="0.25">
      <c r="A8" t="s">
        <v>28</v>
      </c>
      <c r="B8">
        <v>300</v>
      </c>
    </row>
    <row r="9" spans="1:2" x14ac:dyDescent="0.25">
      <c r="A9" t="s">
        <v>29</v>
      </c>
      <c r="B9">
        <v>400</v>
      </c>
    </row>
    <row r="10" spans="1:2" x14ac:dyDescent="0.25">
      <c r="A10" t="s">
        <v>30</v>
      </c>
      <c r="B10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9"/>
  <sheetViews>
    <sheetView topLeftCell="A17" workbookViewId="0">
      <selection activeCell="D4" sqref="D4"/>
    </sheetView>
  </sheetViews>
  <sheetFormatPr defaultRowHeight="15" x14ac:dyDescent="0.25"/>
  <cols>
    <col min="1" max="1" width="15.42578125" bestFit="1" customWidth="1"/>
    <col min="2" max="2" width="14.42578125" bestFit="1" customWidth="1"/>
    <col min="3" max="3" width="50.5703125" bestFit="1" customWidth="1"/>
  </cols>
  <sheetData>
    <row r="1" spans="1:3" x14ac:dyDescent="0.25">
      <c r="A1" s="1" t="s">
        <v>31</v>
      </c>
      <c r="B1" s="1" t="s">
        <v>32</v>
      </c>
      <c r="C1" s="1" t="s">
        <v>33</v>
      </c>
    </row>
    <row r="2" spans="1:3" x14ac:dyDescent="0.25">
      <c r="A2" t="s">
        <v>34</v>
      </c>
      <c r="B2" t="s">
        <v>2</v>
      </c>
      <c r="C2" t="s">
        <v>35</v>
      </c>
    </row>
    <row r="3" spans="1:3" x14ac:dyDescent="0.25">
      <c r="A3" t="s">
        <v>36</v>
      </c>
      <c r="B3" t="s">
        <v>2</v>
      </c>
      <c r="C3" t="s">
        <v>37</v>
      </c>
    </row>
    <row r="4" spans="1:3" x14ac:dyDescent="0.25">
      <c r="A4" t="s">
        <v>38</v>
      </c>
      <c r="B4" t="s">
        <v>2</v>
      </c>
      <c r="C4" t="s">
        <v>39</v>
      </c>
    </row>
    <row r="5" spans="1:3" x14ac:dyDescent="0.25">
      <c r="A5" t="s">
        <v>40</v>
      </c>
      <c r="B5" t="s">
        <v>2</v>
      </c>
      <c r="C5" t="s">
        <v>41</v>
      </c>
    </row>
    <row r="6" spans="1:3" x14ac:dyDescent="0.25">
      <c r="A6" t="s">
        <v>42</v>
      </c>
      <c r="B6" t="s">
        <v>2</v>
      </c>
      <c r="C6" t="s">
        <v>43</v>
      </c>
    </row>
    <row r="7" spans="1:3" x14ac:dyDescent="0.25">
      <c r="A7" t="s">
        <v>44</v>
      </c>
      <c r="B7" t="s">
        <v>2</v>
      </c>
      <c r="C7" t="s">
        <v>45</v>
      </c>
    </row>
    <row r="8" spans="1:3" x14ac:dyDescent="0.25">
      <c r="A8" t="s">
        <v>46</v>
      </c>
      <c r="B8" t="s">
        <v>2</v>
      </c>
      <c r="C8" t="s">
        <v>47</v>
      </c>
    </row>
    <row r="9" spans="1:3" x14ac:dyDescent="0.25">
      <c r="A9" t="s">
        <v>48</v>
      </c>
      <c r="B9" t="s">
        <v>2</v>
      </c>
      <c r="C9" t="s">
        <v>49</v>
      </c>
    </row>
    <row r="10" spans="1:3" x14ac:dyDescent="0.25">
      <c r="A10" t="s">
        <v>50</v>
      </c>
      <c r="B10" t="s">
        <v>4</v>
      </c>
      <c r="C10" t="s">
        <v>51</v>
      </c>
    </row>
    <row r="11" spans="1:3" x14ac:dyDescent="0.25">
      <c r="A11" t="s">
        <v>52</v>
      </c>
      <c r="B11" t="s">
        <v>4</v>
      </c>
      <c r="C11" t="s">
        <v>53</v>
      </c>
    </row>
    <row r="12" spans="1:3" x14ac:dyDescent="0.25">
      <c r="A12" t="s">
        <v>54</v>
      </c>
      <c r="B12" t="s">
        <v>4</v>
      </c>
      <c r="C12" t="s">
        <v>55</v>
      </c>
    </row>
    <row r="13" spans="1:3" x14ac:dyDescent="0.25">
      <c r="A13" t="s">
        <v>56</v>
      </c>
      <c r="B13" t="s">
        <v>4</v>
      </c>
      <c r="C13" t="s">
        <v>57</v>
      </c>
    </row>
    <row r="14" spans="1:3" x14ac:dyDescent="0.25">
      <c r="A14" t="s">
        <v>58</v>
      </c>
      <c r="B14" t="s">
        <v>4</v>
      </c>
      <c r="C14" t="s">
        <v>59</v>
      </c>
    </row>
    <row r="15" spans="1:3" x14ac:dyDescent="0.25">
      <c r="A15" t="s">
        <v>60</v>
      </c>
      <c r="B15" t="s">
        <v>4</v>
      </c>
      <c r="C15" t="s">
        <v>61</v>
      </c>
    </row>
    <row r="16" spans="1:3" x14ac:dyDescent="0.25">
      <c r="A16" t="s">
        <v>62</v>
      </c>
      <c r="B16" t="s">
        <v>4</v>
      </c>
      <c r="C16" t="s">
        <v>63</v>
      </c>
    </row>
    <row r="17" spans="1:3" x14ac:dyDescent="0.25">
      <c r="A17" t="s">
        <v>64</v>
      </c>
      <c r="B17" t="s">
        <v>4</v>
      </c>
      <c r="C17" t="s">
        <v>65</v>
      </c>
    </row>
    <row r="18" spans="1:3" x14ac:dyDescent="0.25">
      <c r="A18" t="s">
        <v>66</v>
      </c>
      <c r="B18" t="s">
        <v>6</v>
      </c>
      <c r="C18" t="s">
        <v>67</v>
      </c>
    </row>
    <row r="19" spans="1:3" x14ac:dyDescent="0.25">
      <c r="A19" t="s">
        <v>68</v>
      </c>
      <c r="B19" t="s">
        <v>6</v>
      </c>
      <c r="C19" t="s">
        <v>69</v>
      </c>
    </row>
    <row r="20" spans="1:3" x14ac:dyDescent="0.25">
      <c r="A20" t="s">
        <v>70</v>
      </c>
      <c r="B20" t="s">
        <v>6</v>
      </c>
      <c r="C20" t="s">
        <v>71</v>
      </c>
    </row>
    <row r="21" spans="1:3" x14ac:dyDescent="0.25">
      <c r="A21" t="s">
        <v>72</v>
      </c>
      <c r="B21" t="s">
        <v>6</v>
      </c>
      <c r="C21" t="s">
        <v>73</v>
      </c>
    </row>
    <row r="22" spans="1:3" x14ac:dyDescent="0.25">
      <c r="A22" t="s">
        <v>74</v>
      </c>
      <c r="B22" t="s">
        <v>6</v>
      </c>
      <c r="C22" t="s">
        <v>75</v>
      </c>
    </row>
    <row r="23" spans="1:3" x14ac:dyDescent="0.25">
      <c r="A23" t="s">
        <v>76</v>
      </c>
      <c r="B23" t="s">
        <v>6</v>
      </c>
      <c r="C23" t="s">
        <v>77</v>
      </c>
    </row>
    <row r="24" spans="1:3" x14ac:dyDescent="0.25">
      <c r="A24" t="s">
        <v>78</v>
      </c>
      <c r="B24" t="s">
        <v>6</v>
      </c>
      <c r="C24" t="s">
        <v>79</v>
      </c>
    </row>
    <row r="25" spans="1:3" x14ac:dyDescent="0.25">
      <c r="A25" t="s">
        <v>80</v>
      </c>
      <c r="B25" t="s">
        <v>6</v>
      </c>
      <c r="C25" t="s">
        <v>81</v>
      </c>
    </row>
    <row r="26" spans="1:3" x14ac:dyDescent="0.25">
      <c r="A26" t="s">
        <v>82</v>
      </c>
      <c r="B26" t="s">
        <v>8</v>
      </c>
      <c r="C26" t="s">
        <v>83</v>
      </c>
    </row>
    <row r="27" spans="1:3" x14ac:dyDescent="0.25">
      <c r="A27" t="s">
        <v>84</v>
      </c>
      <c r="B27" t="s">
        <v>8</v>
      </c>
      <c r="C27" t="s">
        <v>85</v>
      </c>
    </row>
    <row r="28" spans="1:3" x14ac:dyDescent="0.25">
      <c r="A28" t="s">
        <v>86</v>
      </c>
      <c r="B28" t="s">
        <v>8</v>
      </c>
      <c r="C28" t="s">
        <v>87</v>
      </c>
    </row>
    <row r="29" spans="1:3" x14ac:dyDescent="0.25">
      <c r="A29" t="s">
        <v>88</v>
      </c>
      <c r="B29" t="s">
        <v>8</v>
      </c>
      <c r="C29" t="s">
        <v>89</v>
      </c>
    </row>
    <row r="30" spans="1:3" x14ac:dyDescent="0.25">
      <c r="A30" t="s">
        <v>90</v>
      </c>
      <c r="B30" t="s">
        <v>8</v>
      </c>
      <c r="C30" t="s">
        <v>91</v>
      </c>
    </row>
    <row r="31" spans="1:3" x14ac:dyDescent="0.25">
      <c r="A31" t="s">
        <v>92</v>
      </c>
      <c r="B31" t="s">
        <v>8</v>
      </c>
      <c r="C31" t="s">
        <v>93</v>
      </c>
    </row>
    <row r="32" spans="1:3" x14ac:dyDescent="0.25">
      <c r="A32" t="s">
        <v>94</v>
      </c>
      <c r="B32" t="s">
        <v>8</v>
      </c>
      <c r="C32" t="s">
        <v>95</v>
      </c>
    </row>
    <row r="33" spans="1:3" x14ac:dyDescent="0.25">
      <c r="A33" t="s">
        <v>96</v>
      </c>
      <c r="B33" t="s">
        <v>8</v>
      </c>
      <c r="C33" t="s">
        <v>97</v>
      </c>
    </row>
    <row r="34" spans="1:3" x14ac:dyDescent="0.25">
      <c r="A34" t="s">
        <v>98</v>
      </c>
      <c r="B34" t="s">
        <v>10</v>
      </c>
      <c r="C34" t="s">
        <v>99</v>
      </c>
    </row>
    <row r="35" spans="1:3" x14ac:dyDescent="0.25">
      <c r="A35" t="s">
        <v>100</v>
      </c>
      <c r="B35" t="s">
        <v>10</v>
      </c>
      <c r="C35" t="s">
        <v>101</v>
      </c>
    </row>
    <row r="36" spans="1:3" x14ac:dyDescent="0.25">
      <c r="A36" t="s">
        <v>102</v>
      </c>
      <c r="B36" t="s">
        <v>10</v>
      </c>
      <c r="C36" t="s">
        <v>103</v>
      </c>
    </row>
    <row r="37" spans="1:3" x14ac:dyDescent="0.25">
      <c r="A37" t="s">
        <v>104</v>
      </c>
      <c r="B37" t="s">
        <v>10</v>
      </c>
      <c r="C37" t="s">
        <v>105</v>
      </c>
    </row>
    <row r="38" spans="1:3" x14ac:dyDescent="0.25">
      <c r="A38" t="s">
        <v>106</v>
      </c>
      <c r="B38" t="s">
        <v>10</v>
      </c>
      <c r="C38" t="s">
        <v>107</v>
      </c>
    </row>
    <row r="39" spans="1:3" x14ac:dyDescent="0.25">
      <c r="A39" t="s">
        <v>108</v>
      </c>
      <c r="B39" t="s">
        <v>10</v>
      </c>
      <c r="C39" t="s">
        <v>109</v>
      </c>
    </row>
    <row r="40" spans="1:3" x14ac:dyDescent="0.25">
      <c r="A40" t="s">
        <v>110</v>
      </c>
      <c r="B40" t="s">
        <v>10</v>
      </c>
      <c r="C40" t="s">
        <v>111</v>
      </c>
    </row>
    <row r="41" spans="1:3" x14ac:dyDescent="0.25">
      <c r="A41" t="s">
        <v>112</v>
      </c>
      <c r="B41" t="s">
        <v>10</v>
      </c>
      <c r="C41" t="s">
        <v>113</v>
      </c>
    </row>
    <row r="42" spans="1:3" x14ac:dyDescent="0.25">
      <c r="A42" t="s">
        <v>114</v>
      </c>
      <c r="B42" t="s">
        <v>12</v>
      </c>
      <c r="C42" t="s">
        <v>115</v>
      </c>
    </row>
    <row r="43" spans="1:3" x14ac:dyDescent="0.25">
      <c r="A43" t="s">
        <v>116</v>
      </c>
      <c r="B43" t="s">
        <v>12</v>
      </c>
      <c r="C43" t="s">
        <v>117</v>
      </c>
    </row>
    <row r="44" spans="1:3" x14ac:dyDescent="0.25">
      <c r="A44" t="s">
        <v>118</v>
      </c>
      <c r="B44" t="s">
        <v>12</v>
      </c>
      <c r="C44" t="s">
        <v>119</v>
      </c>
    </row>
    <row r="45" spans="1:3" x14ac:dyDescent="0.25">
      <c r="A45" t="s">
        <v>120</v>
      </c>
      <c r="B45" t="s">
        <v>12</v>
      </c>
      <c r="C45" t="s">
        <v>121</v>
      </c>
    </row>
    <row r="46" spans="1:3" x14ac:dyDescent="0.25">
      <c r="A46" t="s">
        <v>122</v>
      </c>
      <c r="B46" t="s">
        <v>12</v>
      </c>
      <c r="C46" t="s">
        <v>123</v>
      </c>
    </row>
    <row r="47" spans="1:3" x14ac:dyDescent="0.25">
      <c r="A47" t="s">
        <v>124</v>
      </c>
      <c r="B47" t="s">
        <v>12</v>
      </c>
      <c r="C47" t="s">
        <v>125</v>
      </c>
    </row>
    <row r="48" spans="1:3" x14ac:dyDescent="0.25">
      <c r="A48" t="s">
        <v>126</v>
      </c>
      <c r="B48" t="s">
        <v>12</v>
      </c>
      <c r="C48" t="s">
        <v>127</v>
      </c>
    </row>
    <row r="49" spans="1:3" x14ac:dyDescent="0.25">
      <c r="A49" t="s">
        <v>128</v>
      </c>
      <c r="B49" t="s">
        <v>12</v>
      </c>
      <c r="C49" t="s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1"/>
  <sheetViews>
    <sheetView workbookViewId="0"/>
  </sheetViews>
  <sheetFormatPr defaultRowHeight="15" x14ac:dyDescent="0.25"/>
  <sheetData>
    <row r="1" spans="1:4" x14ac:dyDescent="0.25">
      <c r="A1" s="1" t="s">
        <v>130</v>
      </c>
      <c r="B1" s="1" t="s">
        <v>1</v>
      </c>
      <c r="C1" s="1" t="s">
        <v>131</v>
      </c>
      <c r="D1" s="1" t="s">
        <v>132</v>
      </c>
    </row>
    <row r="2" spans="1:4" x14ac:dyDescent="0.25">
      <c r="A2" t="s">
        <v>133</v>
      </c>
      <c r="B2" t="s">
        <v>3</v>
      </c>
      <c r="C2" t="s">
        <v>35</v>
      </c>
      <c r="D2" t="s">
        <v>134</v>
      </c>
    </row>
    <row r="3" spans="1:4" x14ac:dyDescent="0.25">
      <c r="A3" t="s">
        <v>135</v>
      </c>
      <c r="B3" t="s">
        <v>3</v>
      </c>
      <c r="C3" t="s">
        <v>35</v>
      </c>
      <c r="D3" t="s">
        <v>136</v>
      </c>
    </row>
    <row r="4" spans="1:4" x14ac:dyDescent="0.25">
      <c r="A4" t="s">
        <v>137</v>
      </c>
      <c r="B4" t="s">
        <v>3</v>
      </c>
      <c r="C4" t="s">
        <v>35</v>
      </c>
      <c r="D4" t="s">
        <v>138</v>
      </c>
    </row>
    <row r="5" spans="1:4" x14ac:dyDescent="0.25">
      <c r="A5" t="s">
        <v>139</v>
      </c>
      <c r="B5" t="s">
        <v>3</v>
      </c>
      <c r="C5" t="s">
        <v>35</v>
      </c>
      <c r="D5" t="s">
        <v>140</v>
      </c>
    </row>
    <row r="6" spans="1:4" x14ac:dyDescent="0.25">
      <c r="A6" t="s">
        <v>141</v>
      </c>
      <c r="B6" t="s">
        <v>3</v>
      </c>
      <c r="C6" t="s">
        <v>35</v>
      </c>
      <c r="D6" t="s">
        <v>142</v>
      </c>
    </row>
    <row r="7" spans="1:4" x14ac:dyDescent="0.25">
      <c r="A7" t="s">
        <v>143</v>
      </c>
      <c r="B7" t="s">
        <v>3</v>
      </c>
      <c r="C7" t="s">
        <v>37</v>
      </c>
      <c r="D7" t="s">
        <v>144</v>
      </c>
    </row>
    <row r="8" spans="1:4" x14ac:dyDescent="0.25">
      <c r="A8" t="s">
        <v>145</v>
      </c>
      <c r="B8" t="s">
        <v>3</v>
      </c>
      <c r="C8" t="s">
        <v>37</v>
      </c>
      <c r="D8" t="s">
        <v>146</v>
      </c>
    </row>
    <row r="9" spans="1:4" x14ac:dyDescent="0.25">
      <c r="A9" t="s">
        <v>147</v>
      </c>
      <c r="B9" t="s">
        <v>3</v>
      </c>
      <c r="C9" t="s">
        <v>37</v>
      </c>
      <c r="D9" t="s">
        <v>148</v>
      </c>
    </row>
    <row r="10" spans="1:4" x14ac:dyDescent="0.25">
      <c r="A10" t="s">
        <v>149</v>
      </c>
      <c r="B10" t="s">
        <v>3</v>
      </c>
      <c r="C10" t="s">
        <v>37</v>
      </c>
      <c r="D10" t="s">
        <v>150</v>
      </c>
    </row>
    <row r="11" spans="1:4" x14ac:dyDescent="0.25">
      <c r="A11" t="s">
        <v>151</v>
      </c>
      <c r="B11" t="s">
        <v>3</v>
      </c>
      <c r="C11" t="s">
        <v>37</v>
      </c>
      <c r="D11" t="s">
        <v>152</v>
      </c>
    </row>
    <row r="12" spans="1:4" x14ac:dyDescent="0.25">
      <c r="A12" t="s">
        <v>153</v>
      </c>
      <c r="B12" t="s">
        <v>3</v>
      </c>
      <c r="C12" t="s">
        <v>39</v>
      </c>
      <c r="D12" t="s">
        <v>154</v>
      </c>
    </row>
    <row r="13" spans="1:4" x14ac:dyDescent="0.25">
      <c r="A13" t="s">
        <v>155</v>
      </c>
      <c r="B13" t="s">
        <v>3</v>
      </c>
      <c r="C13" t="s">
        <v>39</v>
      </c>
      <c r="D13" t="s">
        <v>156</v>
      </c>
    </row>
    <row r="14" spans="1:4" x14ac:dyDescent="0.25">
      <c r="A14" t="s">
        <v>157</v>
      </c>
      <c r="B14" t="s">
        <v>3</v>
      </c>
      <c r="C14" t="s">
        <v>39</v>
      </c>
      <c r="D14" t="s">
        <v>158</v>
      </c>
    </row>
    <row r="15" spans="1:4" x14ac:dyDescent="0.25">
      <c r="A15" t="s">
        <v>159</v>
      </c>
      <c r="B15" t="s">
        <v>3</v>
      </c>
      <c r="C15" t="s">
        <v>39</v>
      </c>
      <c r="D15" t="s">
        <v>160</v>
      </c>
    </row>
    <row r="16" spans="1:4" x14ac:dyDescent="0.25">
      <c r="A16" t="s">
        <v>161</v>
      </c>
      <c r="B16" t="s">
        <v>3</v>
      </c>
      <c r="C16" t="s">
        <v>39</v>
      </c>
      <c r="D16" t="s">
        <v>162</v>
      </c>
    </row>
    <row r="17" spans="1:4" x14ac:dyDescent="0.25">
      <c r="A17" t="s">
        <v>163</v>
      </c>
      <c r="B17" t="s">
        <v>3</v>
      </c>
      <c r="C17" t="s">
        <v>41</v>
      </c>
      <c r="D17" t="s">
        <v>164</v>
      </c>
    </row>
    <row r="18" spans="1:4" x14ac:dyDescent="0.25">
      <c r="A18" t="s">
        <v>165</v>
      </c>
      <c r="B18" t="s">
        <v>3</v>
      </c>
      <c r="C18" t="s">
        <v>41</v>
      </c>
      <c r="D18" t="s">
        <v>166</v>
      </c>
    </row>
    <row r="19" spans="1:4" x14ac:dyDescent="0.25">
      <c r="A19" t="s">
        <v>167</v>
      </c>
      <c r="B19" t="s">
        <v>3</v>
      </c>
      <c r="C19" t="s">
        <v>41</v>
      </c>
      <c r="D19" t="s">
        <v>168</v>
      </c>
    </row>
    <row r="20" spans="1:4" x14ac:dyDescent="0.25">
      <c r="A20" t="s">
        <v>169</v>
      </c>
      <c r="B20" t="s">
        <v>3</v>
      </c>
      <c r="C20" t="s">
        <v>41</v>
      </c>
      <c r="D20" t="s">
        <v>170</v>
      </c>
    </row>
    <row r="21" spans="1:4" x14ac:dyDescent="0.25">
      <c r="A21" t="s">
        <v>171</v>
      </c>
      <c r="B21" t="s">
        <v>3</v>
      </c>
      <c r="C21" t="s">
        <v>41</v>
      </c>
      <c r="D21" t="s">
        <v>172</v>
      </c>
    </row>
    <row r="22" spans="1:4" x14ac:dyDescent="0.25">
      <c r="A22" t="s">
        <v>173</v>
      </c>
      <c r="B22" t="s">
        <v>3</v>
      </c>
      <c r="C22" t="s">
        <v>43</v>
      </c>
      <c r="D22" t="s">
        <v>174</v>
      </c>
    </row>
    <row r="23" spans="1:4" x14ac:dyDescent="0.25">
      <c r="A23" t="s">
        <v>175</v>
      </c>
      <c r="B23" t="s">
        <v>3</v>
      </c>
      <c r="C23" t="s">
        <v>43</v>
      </c>
      <c r="D23" t="s">
        <v>176</v>
      </c>
    </row>
    <row r="24" spans="1:4" x14ac:dyDescent="0.25">
      <c r="A24" t="s">
        <v>177</v>
      </c>
      <c r="B24" t="s">
        <v>3</v>
      </c>
      <c r="C24" t="s">
        <v>43</v>
      </c>
      <c r="D24" t="s">
        <v>178</v>
      </c>
    </row>
    <row r="25" spans="1:4" x14ac:dyDescent="0.25">
      <c r="A25" t="s">
        <v>179</v>
      </c>
      <c r="B25" t="s">
        <v>3</v>
      </c>
      <c r="C25" t="s">
        <v>43</v>
      </c>
      <c r="D25" t="s">
        <v>180</v>
      </c>
    </row>
    <row r="26" spans="1:4" x14ac:dyDescent="0.25">
      <c r="A26" t="s">
        <v>181</v>
      </c>
      <c r="B26" t="s">
        <v>3</v>
      </c>
      <c r="C26" t="s">
        <v>43</v>
      </c>
      <c r="D26" t="s">
        <v>182</v>
      </c>
    </row>
    <row r="27" spans="1:4" x14ac:dyDescent="0.25">
      <c r="A27" t="s">
        <v>183</v>
      </c>
      <c r="B27" t="s">
        <v>3</v>
      </c>
      <c r="C27" t="s">
        <v>45</v>
      </c>
      <c r="D27" t="s">
        <v>184</v>
      </c>
    </row>
    <row r="28" spans="1:4" x14ac:dyDescent="0.25">
      <c r="A28" t="s">
        <v>185</v>
      </c>
      <c r="B28" t="s">
        <v>3</v>
      </c>
      <c r="C28" t="s">
        <v>45</v>
      </c>
      <c r="D28" t="s">
        <v>186</v>
      </c>
    </row>
    <row r="29" spans="1:4" x14ac:dyDescent="0.25">
      <c r="A29" t="s">
        <v>187</v>
      </c>
      <c r="B29" t="s">
        <v>3</v>
      </c>
      <c r="C29" t="s">
        <v>45</v>
      </c>
      <c r="D29" t="s">
        <v>188</v>
      </c>
    </row>
    <row r="30" spans="1:4" x14ac:dyDescent="0.25">
      <c r="A30" t="s">
        <v>189</v>
      </c>
      <c r="B30" t="s">
        <v>3</v>
      </c>
      <c r="C30" t="s">
        <v>45</v>
      </c>
      <c r="D30" t="s">
        <v>190</v>
      </c>
    </row>
    <row r="31" spans="1:4" x14ac:dyDescent="0.25">
      <c r="A31" t="s">
        <v>191</v>
      </c>
      <c r="B31" t="s">
        <v>3</v>
      </c>
      <c r="C31" t="s">
        <v>45</v>
      </c>
      <c r="D31" t="s">
        <v>192</v>
      </c>
    </row>
    <row r="32" spans="1:4" x14ac:dyDescent="0.25">
      <c r="A32" t="s">
        <v>193</v>
      </c>
      <c r="B32" t="s">
        <v>3</v>
      </c>
      <c r="C32" t="s">
        <v>47</v>
      </c>
      <c r="D32" t="s">
        <v>194</v>
      </c>
    </row>
    <row r="33" spans="1:4" x14ac:dyDescent="0.25">
      <c r="A33" t="s">
        <v>195</v>
      </c>
      <c r="B33" t="s">
        <v>3</v>
      </c>
      <c r="C33" t="s">
        <v>47</v>
      </c>
      <c r="D33" t="s">
        <v>196</v>
      </c>
    </row>
    <row r="34" spans="1:4" x14ac:dyDescent="0.25">
      <c r="A34" t="s">
        <v>197</v>
      </c>
      <c r="B34" t="s">
        <v>3</v>
      </c>
      <c r="C34" t="s">
        <v>47</v>
      </c>
      <c r="D34" t="s">
        <v>198</v>
      </c>
    </row>
    <row r="35" spans="1:4" x14ac:dyDescent="0.25">
      <c r="A35" t="s">
        <v>199</v>
      </c>
      <c r="B35" t="s">
        <v>3</v>
      </c>
      <c r="C35" t="s">
        <v>47</v>
      </c>
      <c r="D35" t="s">
        <v>200</v>
      </c>
    </row>
    <row r="36" spans="1:4" x14ac:dyDescent="0.25">
      <c r="A36" t="s">
        <v>201</v>
      </c>
      <c r="B36" t="s">
        <v>3</v>
      </c>
      <c r="C36" t="s">
        <v>47</v>
      </c>
      <c r="D36" t="s">
        <v>202</v>
      </c>
    </row>
    <row r="37" spans="1:4" x14ac:dyDescent="0.25">
      <c r="A37" t="s">
        <v>203</v>
      </c>
      <c r="B37" t="s">
        <v>3</v>
      </c>
      <c r="C37" t="s">
        <v>49</v>
      </c>
      <c r="D37" t="s">
        <v>204</v>
      </c>
    </row>
    <row r="38" spans="1:4" x14ac:dyDescent="0.25">
      <c r="A38" t="s">
        <v>205</v>
      </c>
      <c r="B38" t="s">
        <v>3</v>
      </c>
      <c r="C38" t="s">
        <v>49</v>
      </c>
      <c r="D38" t="s">
        <v>206</v>
      </c>
    </row>
    <row r="39" spans="1:4" x14ac:dyDescent="0.25">
      <c r="A39" t="s">
        <v>207</v>
      </c>
      <c r="B39" t="s">
        <v>3</v>
      </c>
      <c r="C39" t="s">
        <v>49</v>
      </c>
      <c r="D39" t="s">
        <v>208</v>
      </c>
    </row>
    <row r="40" spans="1:4" x14ac:dyDescent="0.25">
      <c r="A40" t="s">
        <v>209</v>
      </c>
      <c r="B40" t="s">
        <v>3</v>
      </c>
      <c r="C40" t="s">
        <v>49</v>
      </c>
      <c r="D40" t="s">
        <v>210</v>
      </c>
    </row>
    <row r="41" spans="1:4" x14ac:dyDescent="0.25">
      <c r="A41" t="s">
        <v>211</v>
      </c>
      <c r="B41" t="s">
        <v>3</v>
      </c>
      <c r="C41" t="s">
        <v>49</v>
      </c>
      <c r="D41" t="s">
        <v>212</v>
      </c>
    </row>
    <row r="42" spans="1:4" x14ac:dyDescent="0.25">
      <c r="A42" t="s">
        <v>213</v>
      </c>
      <c r="B42" t="s">
        <v>5</v>
      </c>
      <c r="C42" t="s">
        <v>51</v>
      </c>
      <c r="D42" t="s">
        <v>214</v>
      </c>
    </row>
    <row r="43" spans="1:4" x14ac:dyDescent="0.25">
      <c r="A43" t="s">
        <v>215</v>
      </c>
      <c r="B43" t="s">
        <v>5</v>
      </c>
      <c r="C43" t="s">
        <v>51</v>
      </c>
      <c r="D43" t="s">
        <v>216</v>
      </c>
    </row>
    <row r="44" spans="1:4" x14ac:dyDescent="0.25">
      <c r="A44" t="s">
        <v>217</v>
      </c>
      <c r="B44" t="s">
        <v>5</v>
      </c>
      <c r="C44" t="s">
        <v>51</v>
      </c>
      <c r="D44" t="s">
        <v>218</v>
      </c>
    </row>
    <row r="45" spans="1:4" x14ac:dyDescent="0.25">
      <c r="A45" t="s">
        <v>219</v>
      </c>
      <c r="B45" t="s">
        <v>5</v>
      </c>
      <c r="C45" t="s">
        <v>51</v>
      </c>
      <c r="D45" t="s">
        <v>220</v>
      </c>
    </row>
    <row r="46" spans="1:4" x14ac:dyDescent="0.25">
      <c r="A46" t="s">
        <v>221</v>
      </c>
      <c r="B46" t="s">
        <v>5</v>
      </c>
      <c r="C46" t="s">
        <v>51</v>
      </c>
      <c r="D46" t="s">
        <v>222</v>
      </c>
    </row>
    <row r="47" spans="1:4" x14ac:dyDescent="0.25">
      <c r="A47" t="s">
        <v>223</v>
      </c>
      <c r="B47" t="s">
        <v>5</v>
      </c>
      <c r="C47" t="s">
        <v>53</v>
      </c>
      <c r="D47" t="s">
        <v>224</v>
      </c>
    </row>
    <row r="48" spans="1:4" x14ac:dyDescent="0.25">
      <c r="A48" t="s">
        <v>225</v>
      </c>
      <c r="B48" t="s">
        <v>5</v>
      </c>
      <c r="C48" t="s">
        <v>53</v>
      </c>
      <c r="D48" t="s">
        <v>226</v>
      </c>
    </row>
    <row r="49" spans="1:4" x14ac:dyDescent="0.25">
      <c r="A49" t="s">
        <v>227</v>
      </c>
      <c r="B49" t="s">
        <v>5</v>
      </c>
      <c r="C49" t="s">
        <v>53</v>
      </c>
      <c r="D49" t="s">
        <v>228</v>
      </c>
    </row>
    <row r="50" spans="1:4" x14ac:dyDescent="0.25">
      <c r="A50" t="s">
        <v>229</v>
      </c>
      <c r="B50" t="s">
        <v>5</v>
      </c>
      <c r="C50" t="s">
        <v>53</v>
      </c>
      <c r="D50" t="s">
        <v>230</v>
      </c>
    </row>
    <row r="51" spans="1:4" x14ac:dyDescent="0.25">
      <c r="A51" t="s">
        <v>231</v>
      </c>
      <c r="B51" t="s">
        <v>5</v>
      </c>
      <c r="C51" t="s">
        <v>53</v>
      </c>
      <c r="D51" t="s">
        <v>232</v>
      </c>
    </row>
    <row r="52" spans="1:4" x14ac:dyDescent="0.25">
      <c r="A52" t="s">
        <v>233</v>
      </c>
      <c r="B52" t="s">
        <v>5</v>
      </c>
      <c r="C52" t="s">
        <v>55</v>
      </c>
      <c r="D52" t="s">
        <v>234</v>
      </c>
    </row>
    <row r="53" spans="1:4" x14ac:dyDescent="0.25">
      <c r="A53" t="s">
        <v>235</v>
      </c>
      <c r="B53" t="s">
        <v>5</v>
      </c>
      <c r="C53" t="s">
        <v>55</v>
      </c>
      <c r="D53" t="s">
        <v>236</v>
      </c>
    </row>
    <row r="54" spans="1:4" x14ac:dyDescent="0.25">
      <c r="A54" t="s">
        <v>237</v>
      </c>
      <c r="B54" t="s">
        <v>5</v>
      </c>
      <c r="C54" t="s">
        <v>55</v>
      </c>
      <c r="D54" t="s">
        <v>238</v>
      </c>
    </row>
    <row r="55" spans="1:4" x14ac:dyDescent="0.25">
      <c r="A55" t="s">
        <v>239</v>
      </c>
      <c r="B55" t="s">
        <v>5</v>
      </c>
      <c r="C55" t="s">
        <v>55</v>
      </c>
      <c r="D55" t="s">
        <v>240</v>
      </c>
    </row>
    <row r="56" spans="1:4" x14ac:dyDescent="0.25">
      <c r="A56" t="s">
        <v>241</v>
      </c>
      <c r="B56" t="s">
        <v>5</v>
      </c>
      <c r="C56" t="s">
        <v>55</v>
      </c>
      <c r="D56" t="s">
        <v>242</v>
      </c>
    </row>
    <row r="57" spans="1:4" x14ac:dyDescent="0.25">
      <c r="A57" t="s">
        <v>243</v>
      </c>
      <c r="B57" t="s">
        <v>5</v>
      </c>
      <c r="C57" t="s">
        <v>57</v>
      </c>
      <c r="D57" t="s">
        <v>244</v>
      </c>
    </row>
    <row r="58" spans="1:4" x14ac:dyDescent="0.25">
      <c r="A58" t="s">
        <v>245</v>
      </c>
      <c r="B58" t="s">
        <v>5</v>
      </c>
      <c r="C58" t="s">
        <v>57</v>
      </c>
      <c r="D58" t="s">
        <v>246</v>
      </c>
    </row>
    <row r="59" spans="1:4" x14ac:dyDescent="0.25">
      <c r="A59" t="s">
        <v>247</v>
      </c>
      <c r="B59" t="s">
        <v>5</v>
      </c>
      <c r="C59" t="s">
        <v>57</v>
      </c>
      <c r="D59" t="s">
        <v>248</v>
      </c>
    </row>
    <row r="60" spans="1:4" x14ac:dyDescent="0.25">
      <c r="A60" t="s">
        <v>249</v>
      </c>
      <c r="B60" t="s">
        <v>5</v>
      </c>
      <c r="C60" t="s">
        <v>57</v>
      </c>
      <c r="D60" t="s">
        <v>250</v>
      </c>
    </row>
    <row r="61" spans="1:4" x14ac:dyDescent="0.25">
      <c r="A61" t="s">
        <v>251</v>
      </c>
      <c r="B61" t="s">
        <v>5</v>
      </c>
      <c r="C61" t="s">
        <v>57</v>
      </c>
      <c r="D61" t="s">
        <v>252</v>
      </c>
    </row>
    <row r="62" spans="1:4" x14ac:dyDescent="0.25">
      <c r="A62" t="s">
        <v>253</v>
      </c>
      <c r="B62" t="s">
        <v>5</v>
      </c>
      <c r="C62" t="s">
        <v>59</v>
      </c>
      <c r="D62" t="s">
        <v>254</v>
      </c>
    </row>
    <row r="63" spans="1:4" x14ac:dyDescent="0.25">
      <c r="A63" t="s">
        <v>255</v>
      </c>
      <c r="B63" t="s">
        <v>5</v>
      </c>
      <c r="C63" t="s">
        <v>59</v>
      </c>
      <c r="D63" t="s">
        <v>256</v>
      </c>
    </row>
    <row r="64" spans="1:4" x14ac:dyDescent="0.25">
      <c r="A64" t="s">
        <v>257</v>
      </c>
      <c r="B64" t="s">
        <v>5</v>
      </c>
      <c r="C64" t="s">
        <v>59</v>
      </c>
      <c r="D64" t="s">
        <v>258</v>
      </c>
    </row>
    <row r="65" spans="1:4" x14ac:dyDescent="0.25">
      <c r="A65" t="s">
        <v>259</v>
      </c>
      <c r="B65" t="s">
        <v>5</v>
      </c>
      <c r="C65" t="s">
        <v>59</v>
      </c>
      <c r="D65" t="s">
        <v>260</v>
      </c>
    </row>
    <row r="66" spans="1:4" x14ac:dyDescent="0.25">
      <c r="A66" t="s">
        <v>261</v>
      </c>
      <c r="B66" t="s">
        <v>5</v>
      </c>
      <c r="C66" t="s">
        <v>59</v>
      </c>
      <c r="D66" t="s">
        <v>262</v>
      </c>
    </row>
    <row r="67" spans="1:4" x14ac:dyDescent="0.25">
      <c r="A67" t="s">
        <v>263</v>
      </c>
      <c r="B67" t="s">
        <v>5</v>
      </c>
      <c r="C67" t="s">
        <v>61</v>
      </c>
      <c r="D67" t="s">
        <v>264</v>
      </c>
    </row>
    <row r="68" spans="1:4" x14ac:dyDescent="0.25">
      <c r="A68" t="s">
        <v>265</v>
      </c>
      <c r="B68" t="s">
        <v>5</v>
      </c>
      <c r="C68" t="s">
        <v>61</v>
      </c>
      <c r="D68" t="s">
        <v>266</v>
      </c>
    </row>
    <row r="69" spans="1:4" x14ac:dyDescent="0.25">
      <c r="A69" t="s">
        <v>267</v>
      </c>
      <c r="B69" t="s">
        <v>5</v>
      </c>
      <c r="C69" t="s">
        <v>61</v>
      </c>
      <c r="D69" t="s">
        <v>268</v>
      </c>
    </row>
    <row r="70" spans="1:4" x14ac:dyDescent="0.25">
      <c r="A70" t="s">
        <v>269</v>
      </c>
      <c r="B70" t="s">
        <v>5</v>
      </c>
      <c r="C70" t="s">
        <v>61</v>
      </c>
      <c r="D70" t="s">
        <v>270</v>
      </c>
    </row>
    <row r="71" spans="1:4" x14ac:dyDescent="0.25">
      <c r="A71" t="s">
        <v>271</v>
      </c>
      <c r="B71" t="s">
        <v>5</v>
      </c>
      <c r="C71" t="s">
        <v>61</v>
      </c>
      <c r="D71" t="s">
        <v>272</v>
      </c>
    </row>
    <row r="72" spans="1:4" x14ac:dyDescent="0.25">
      <c r="A72" t="s">
        <v>273</v>
      </c>
      <c r="B72" t="s">
        <v>5</v>
      </c>
      <c r="C72" t="s">
        <v>63</v>
      </c>
      <c r="D72" t="s">
        <v>274</v>
      </c>
    </row>
    <row r="73" spans="1:4" x14ac:dyDescent="0.25">
      <c r="A73" t="s">
        <v>275</v>
      </c>
      <c r="B73" t="s">
        <v>5</v>
      </c>
      <c r="C73" t="s">
        <v>63</v>
      </c>
      <c r="D73" t="s">
        <v>276</v>
      </c>
    </row>
    <row r="74" spans="1:4" x14ac:dyDescent="0.25">
      <c r="A74" t="s">
        <v>277</v>
      </c>
      <c r="B74" t="s">
        <v>5</v>
      </c>
      <c r="C74" t="s">
        <v>63</v>
      </c>
      <c r="D74" t="s">
        <v>278</v>
      </c>
    </row>
    <row r="75" spans="1:4" x14ac:dyDescent="0.25">
      <c r="A75" t="s">
        <v>279</v>
      </c>
      <c r="B75" t="s">
        <v>5</v>
      </c>
      <c r="C75" t="s">
        <v>63</v>
      </c>
      <c r="D75" t="s">
        <v>280</v>
      </c>
    </row>
    <row r="76" spans="1:4" x14ac:dyDescent="0.25">
      <c r="A76" t="s">
        <v>281</v>
      </c>
      <c r="B76" t="s">
        <v>5</v>
      </c>
      <c r="C76" t="s">
        <v>63</v>
      </c>
      <c r="D76" t="s">
        <v>282</v>
      </c>
    </row>
    <row r="77" spans="1:4" x14ac:dyDescent="0.25">
      <c r="A77" t="s">
        <v>283</v>
      </c>
      <c r="B77" t="s">
        <v>5</v>
      </c>
      <c r="C77" t="s">
        <v>65</v>
      </c>
      <c r="D77" t="s">
        <v>284</v>
      </c>
    </row>
    <row r="78" spans="1:4" x14ac:dyDescent="0.25">
      <c r="A78" t="s">
        <v>285</v>
      </c>
      <c r="B78" t="s">
        <v>5</v>
      </c>
      <c r="C78" t="s">
        <v>65</v>
      </c>
      <c r="D78" t="s">
        <v>286</v>
      </c>
    </row>
    <row r="79" spans="1:4" x14ac:dyDescent="0.25">
      <c r="A79" t="s">
        <v>287</v>
      </c>
      <c r="B79" t="s">
        <v>5</v>
      </c>
      <c r="C79" t="s">
        <v>65</v>
      </c>
      <c r="D79" t="s">
        <v>288</v>
      </c>
    </row>
    <row r="80" spans="1:4" x14ac:dyDescent="0.25">
      <c r="A80" t="s">
        <v>289</v>
      </c>
      <c r="B80" t="s">
        <v>5</v>
      </c>
      <c r="C80" t="s">
        <v>65</v>
      </c>
      <c r="D80" t="s">
        <v>290</v>
      </c>
    </row>
    <row r="81" spans="1:4" x14ac:dyDescent="0.25">
      <c r="A81" t="s">
        <v>291</v>
      </c>
      <c r="B81" t="s">
        <v>5</v>
      </c>
      <c r="C81" t="s">
        <v>65</v>
      </c>
      <c r="D81" t="s">
        <v>292</v>
      </c>
    </row>
    <row r="82" spans="1:4" x14ac:dyDescent="0.25">
      <c r="A82" t="s">
        <v>293</v>
      </c>
      <c r="B82" t="s">
        <v>7</v>
      </c>
      <c r="C82" t="s">
        <v>67</v>
      </c>
      <c r="D82" t="s">
        <v>294</v>
      </c>
    </row>
    <row r="83" spans="1:4" x14ac:dyDescent="0.25">
      <c r="A83" t="s">
        <v>295</v>
      </c>
      <c r="B83" t="s">
        <v>7</v>
      </c>
      <c r="C83" t="s">
        <v>67</v>
      </c>
      <c r="D83" t="s">
        <v>296</v>
      </c>
    </row>
    <row r="84" spans="1:4" x14ac:dyDescent="0.25">
      <c r="A84" t="s">
        <v>297</v>
      </c>
      <c r="B84" t="s">
        <v>7</v>
      </c>
      <c r="C84" t="s">
        <v>67</v>
      </c>
      <c r="D84" t="s">
        <v>298</v>
      </c>
    </row>
    <row r="85" spans="1:4" x14ac:dyDescent="0.25">
      <c r="A85" t="s">
        <v>299</v>
      </c>
      <c r="B85" t="s">
        <v>7</v>
      </c>
      <c r="C85" t="s">
        <v>67</v>
      </c>
      <c r="D85" t="s">
        <v>300</v>
      </c>
    </row>
    <row r="86" spans="1:4" x14ac:dyDescent="0.25">
      <c r="A86" t="s">
        <v>301</v>
      </c>
      <c r="B86" t="s">
        <v>7</v>
      </c>
      <c r="C86" t="s">
        <v>67</v>
      </c>
      <c r="D86" t="s">
        <v>302</v>
      </c>
    </row>
    <row r="87" spans="1:4" x14ac:dyDescent="0.25">
      <c r="A87" t="s">
        <v>303</v>
      </c>
      <c r="B87" t="s">
        <v>7</v>
      </c>
      <c r="C87" t="s">
        <v>69</v>
      </c>
      <c r="D87" t="s">
        <v>304</v>
      </c>
    </row>
    <row r="88" spans="1:4" x14ac:dyDescent="0.25">
      <c r="A88" t="s">
        <v>305</v>
      </c>
      <c r="B88" t="s">
        <v>7</v>
      </c>
      <c r="C88" t="s">
        <v>69</v>
      </c>
      <c r="D88" t="s">
        <v>306</v>
      </c>
    </row>
    <row r="89" spans="1:4" x14ac:dyDescent="0.25">
      <c r="A89" t="s">
        <v>307</v>
      </c>
      <c r="B89" t="s">
        <v>7</v>
      </c>
      <c r="C89" t="s">
        <v>69</v>
      </c>
      <c r="D89" t="s">
        <v>308</v>
      </c>
    </row>
    <row r="90" spans="1:4" x14ac:dyDescent="0.25">
      <c r="A90" t="s">
        <v>309</v>
      </c>
      <c r="B90" t="s">
        <v>7</v>
      </c>
      <c r="C90" t="s">
        <v>69</v>
      </c>
      <c r="D90" t="s">
        <v>310</v>
      </c>
    </row>
    <row r="91" spans="1:4" x14ac:dyDescent="0.25">
      <c r="A91" t="s">
        <v>311</v>
      </c>
      <c r="B91" t="s">
        <v>7</v>
      </c>
      <c r="C91" t="s">
        <v>69</v>
      </c>
      <c r="D91" t="s">
        <v>312</v>
      </c>
    </row>
    <row r="92" spans="1:4" x14ac:dyDescent="0.25">
      <c r="A92" t="s">
        <v>313</v>
      </c>
      <c r="B92" t="s">
        <v>7</v>
      </c>
      <c r="C92" t="s">
        <v>71</v>
      </c>
      <c r="D92" t="s">
        <v>314</v>
      </c>
    </row>
    <row r="93" spans="1:4" x14ac:dyDescent="0.25">
      <c r="A93" t="s">
        <v>315</v>
      </c>
      <c r="B93" t="s">
        <v>7</v>
      </c>
      <c r="C93" t="s">
        <v>71</v>
      </c>
      <c r="D93" t="s">
        <v>316</v>
      </c>
    </row>
    <row r="94" spans="1:4" x14ac:dyDescent="0.25">
      <c r="A94" t="s">
        <v>317</v>
      </c>
      <c r="B94" t="s">
        <v>7</v>
      </c>
      <c r="C94" t="s">
        <v>71</v>
      </c>
      <c r="D94" t="s">
        <v>318</v>
      </c>
    </row>
    <row r="95" spans="1:4" x14ac:dyDescent="0.25">
      <c r="A95" t="s">
        <v>319</v>
      </c>
      <c r="B95" t="s">
        <v>7</v>
      </c>
      <c r="C95" t="s">
        <v>71</v>
      </c>
      <c r="D95" t="s">
        <v>320</v>
      </c>
    </row>
    <row r="96" spans="1:4" x14ac:dyDescent="0.25">
      <c r="A96" t="s">
        <v>321</v>
      </c>
      <c r="B96" t="s">
        <v>7</v>
      </c>
      <c r="C96" t="s">
        <v>71</v>
      </c>
      <c r="D96" t="s">
        <v>322</v>
      </c>
    </row>
    <row r="97" spans="1:4" x14ac:dyDescent="0.25">
      <c r="A97" t="s">
        <v>323</v>
      </c>
      <c r="B97" t="s">
        <v>7</v>
      </c>
      <c r="C97" t="s">
        <v>73</v>
      </c>
      <c r="D97" t="s">
        <v>324</v>
      </c>
    </row>
    <row r="98" spans="1:4" x14ac:dyDescent="0.25">
      <c r="A98" t="s">
        <v>325</v>
      </c>
      <c r="B98" t="s">
        <v>7</v>
      </c>
      <c r="C98" t="s">
        <v>73</v>
      </c>
      <c r="D98" t="s">
        <v>326</v>
      </c>
    </row>
    <row r="99" spans="1:4" x14ac:dyDescent="0.25">
      <c r="A99" t="s">
        <v>327</v>
      </c>
      <c r="B99" t="s">
        <v>7</v>
      </c>
      <c r="C99" t="s">
        <v>73</v>
      </c>
      <c r="D99" t="s">
        <v>328</v>
      </c>
    </row>
    <row r="100" spans="1:4" x14ac:dyDescent="0.25">
      <c r="A100" t="s">
        <v>329</v>
      </c>
      <c r="B100" t="s">
        <v>7</v>
      </c>
      <c r="C100" t="s">
        <v>73</v>
      </c>
      <c r="D100" t="s">
        <v>330</v>
      </c>
    </row>
    <row r="101" spans="1:4" x14ac:dyDescent="0.25">
      <c r="A101" t="s">
        <v>331</v>
      </c>
      <c r="B101" t="s">
        <v>7</v>
      </c>
      <c r="C101" t="s">
        <v>73</v>
      </c>
      <c r="D101" t="s">
        <v>332</v>
      </c>
    </row>
    <row r="102" spans="1:4" x14ac:dyDescent="0.25">
      <c r="A102" t="s">
        <v>333</v>
      </c>
      <c r="B102" t="s">
        <v>7</v>
      </c>
      <c r="C102" t="s">
        <v>75</v>
      </c>
      <c r="D102" t="s">
        <v>334</v>
      </c>
    </row>
    <row r="103" spans="1:4" x14ac:dyDescent="0.25">
      <c r="A103" t="s">
        <v>335</v>
      </c>
      <c r="B103" t="s">
        <v>7</v>
      </c>
      <c r="C103" t="s">
        <v>75</v>
      </c>
      <c r="D103" t="s">
        <v>336</v>
      </c>
    </row>
    <row r="104" spans="1:4" x14ac:dyDescent="0.25">
      <c r="A104" t="s">
        <v>337</v>
      </c>
      <c r="B104" t="s">
        <v>7</v>
      </c>
      <c r="C104" t="s">
        <v>75</v>
      </c>
      <c r="D104" t="s">
        <v>338</v>
      </c>
    </row>
    <row r="105" spans="1:4" x14ac:dyDescent="0.25">
      <c r="A105" t="s">
        <v>339</v>
      </c>
      <c r="B105" t="s">
        <v>7</v>
      </c>
      <c r="C105" t="s">
        <v>75</v>
      </c>
      <c r="D105" t="s">
        <v>340</v>
      </c>
    </row>
    <row r="106" spans="1:4" x14ac:dyDescent="0.25">
      <c r="A106" t="s">
        <v>341</v>
      </c>
      <c r="B106" t="s">
        <v>7</v>
      </c>
      <c r="C106" t="s">
        <v>75</v>
      </c>
      <c r="D106" t="s">
        <v>342</v>
      </c>
    </row>
    <row r="107" spans="1:4" x14ac:dyDescent="0.25">
      <c r="A107" t="s">
        <v>343</v>
      </c>
      <c r="B107" t="s">
        <v>7</v>
      </c>
      <c r="C107" t="s">
        <v>77</v>
      </c>
      <c r="D107" t="s">
        <v>344</v>
      </c>
    </row>
    <row r="108" spans="1:4" x14ac:dyDescent="0.25">
      <c r="A108" t="s">
        <v>345</v>
      </c>
      <c r="B108" t="s">
        <v>7</v>
      </c>
      <c r="C108" t="s">
        <v>77</v>
      </c>
      <c r="D108" t="s">
        <v>346</v>
      </c>
    </row>
    <row r="109" spans="1:4" x14ac:dyDescent="0.25">
      <c r="A109" t="s">
        <v>347</v>
      </c>
      <c r="B109" t="s">
        <v>7</v>
      </c>
      <c r="C109" t="s">
        <v>77</v>
      </c>
      <c r="D109" t="s">
        <v>348</v>
      </c>
    </row>
    <row r="110" spans="1:4" x14ac:dyDescent="0.25">
      <c r="A110" t="s">
        <v>349</v>
      </c>
      <c r="B110" t="s">
        <v>7</v>
      </c>
      <c r="C110" t="s">
        <v>77</v>
      </c>
      <c r="D110" t="s">
        <v>350</v>
      </c>
    </row>
    <row r="111" spans="1:4" x14ac:dyDescent="0.25">
      <c r="A111" t="s">
        <v>351</v>
      </c>
      <c r="B111" t="s">
        <v>7</v>
      </c>
      <c r="C111" t="s">
        <v>77</v>
      </c>
      <c r="D111" t="s">
        <v>352</v>
      </c>
    </row>
    <row r="112" spans="1:4" x14ac:dyDescent="0.25">
      <c r="A112" t="s">
        <v>353</v>
      </c>
      <c r="B112" t="s">
        <v>7</v>
      </c>
      <c r="C112" t="s">
        <v>79</v>
      </c>
      <c r="D112" t="s">
        <v>354</v>
      </c>
    </row>
    <row r="113" spans="1:4" x14ac:dyDescent="0.25">
      <c r="A113" t="s">
        <v>355</v>
      </c>
      <c r="B113" t="s">
        <v>7</v>
      </c>
      <c r="C113" t="s">
        <v>79</v>
      </c>
      <c r="D113" t="s">
        <v>356</v>
      </c>
    </row>
    <row r="114" spans="1:4" x14ac:dyDescent="0.25">
      <c r="A114" t="s">
        <v>357</v>
      </c>
      <c r="B114" t="s">
        <v>7</v>
      </c>
      <c r="C114" t="s">
        <v>79</v>
      </c>
      <c r="D114" t="s">
        <v>358</v>
      </c>
    </row>
    <row r="115" spans="1:4" x14ac:dyDescent="0.25">
      <c r="A115" t="s">
        <v>359</v>
      </c>
      <c r="B115" t="s">
        <v>7</v>
      </c>
      <c r="C115" t="s">
        <v>79</v>
      </c>
      <c r="D115" t="s">
        <v>360</v>
      </c>
    </row>
    <row r="116" spans="1:4" x14ac:dyDescent="0.25">
      <c r="A116" t="s">
        <v>361</v>
      </c>
      <c r="B116" t="s">
        <v>7</v>
      </c>
      <c r="C116" t="s">
        <v>79</v>
      </c>
      <c r="D116" t="s">
        <v>362</v>
      </c>
    </row>
    <row r="117" spans="1:4" x14ac:dyDescent="0.25">
      <c r="A117" t="s">
        <v>363</v>
      </c>
      <c r="B117" t="s">
        <v>7</v>
      </c>
      <c r="C117" t="s">
        <v>81</v>
      </c>
      <c r="D117" t="s">
        <v>364</v>
      </c>
    </row>
    <row r="118" spans="1:4" x14ac:dyDescent="0.25">
      <c r="A118" t="s">
        <v>365</v>
      </c>
      <c r="B118" t="s">
        <v>7</v>
      </c>
      <c r="C118" t="s">
        <v>81</v>
      </c>
      <c r="D118" t="s">
        <v>366</v>
      </c>
    </row>
    <row r="119" spans="1:4" x14ac:dyDescent="0.25">
      <c r="A119" t="s">
        <v>367</v>
      </c>
      <c r="B119" t="s">
        <v>7</v>
      </c>
      <c r="C119" t="s">
        <v>81</v>
      </c>
      <c r="D119" t="s">
        <v>368</v>
      </c>
    </row>
    <row r="120" spans="1:4" x14ac:dyDescent="0.25">
      <c r="A120" t="s">
        <v>369</v>
      </c>
      <c r="B120" t="s">
        <v>7</v>
      </c>
      <c r="C120" t="s">
        <v>81</v>
      </c>
      <c r="D120" t="s">
        <v>370</v>
      </c>
    </row>
    <row r="121" spans="1:4" x14ac:dyDescent="0.25">
      <c r="A121" t="s">
        <v>371</v>
      </c>
      <c r="B121" t="s">
        <v>7</v>
      </c>
      <c r="C121" t="s">
        <v>81</v>
      </c>
      <c r="D121" t="s">
        <v>372</v>
      </c>
    </row>
    <row r="122" spans="1:4" x14ac:dyDescent="0.25">
      <c r="A122" t="s">
        <v>373</v>
      </c>
      <c r="B122" t="s">
        <v>9</v>
      </c>
      <c r="C122" t="s">
        <v>83</v>
      </c>
      <c r="D122" t="s">
        <v>374</v>
      </c>
    </row>
    <row r="123" spans="1:4" x14ac:dyDescent="0.25">
      <c r="A123" t="s">
        <v>375</v>
      </c>
      <c r="B123" t="s">
        <v>9</v>
      </c>
      <c r="C123" t="s">
        <v>83</v>
      </c>
      <c r="D123" t="s">
        <v>376</v>
      </c>
    </row>
    <row r="124" spans="1:4" x14ac:dyDescent="0.25">
      <c r="A124" t="s">
        <v>377</v>
      </c>
      <c r="B124" t="s">
        <v>9</v>
      </c>
      <c r="C124" t="s">
        <v>83</v>
      </c>
      <c r="D124" t="s">
        <v>378</v>
      </c>
    </row>
    <row r="125" spans="1:4" x14ac:dyDescent="0.25">
      <c r="A125" t="s">
        <v>379</v>
      </c>
      <c r="B125" t="s">
        <v>9</v>
      </c>
      <c r="C125" t="s">
        <v>83</v>
      </c>
      <c r="D125" t="s">
        <v>380</v>
      </c>
    </row>
    <row r="126" spans="1:4" x14ac:dyDescent="0.25">
      <c r="A126" t="s">
        <v>381</v>
      </c>
      <c r="B126" t="s">
        <v>9</v>
      </c>
      <c r="C126" t="s">
        <v>83</v>
      </c>
      <c r="D126" t="s">
        <v>382</v>
      </c>
    </row>
    <row r="127" spans="1:4" x14ac:dyDescent="0.25">
      <c r="A127" t="s">
        <v>383</v>
      </c>
      <c r="B127" t="s">
        <v>9</v>
      </c>
      <c r="C127" t="s">
        <v>85</v>
      </c>
      <c r="D127" t="s">
        <v>384</v>
      </c>
    </row>
    <row r="128" spans="1:4" x14ac:dyDescent="0.25">
      <c r="A128" t="s">
        <v>385</v>
      </c>
      <c r="B128" t="s">
        <v>9</v>
      </c>
      <c r="C128" t="s">
        <v>85</v>
      </c>
      <c r="D128" t="s">
        <v>386</v>
      </c>
    </row>
    <row r="129" spans="1:4" x14ac:dyDescent="0.25">
      <c r="A129" t="s">
        <v>387</v>
      </c>
      <c r="B129" t="s">
        <v>9</v>
      </c>
      <c r="C129" t="s">
        <v>85</v>
      </c>
      <c r="D129" t="s">
        <v>388</v>
      </c>
    </row>
    <row r="130" spans="1:4" x14ac:dyDescent="0.25">
      <c r="A130" t="s">
        <v>389</v>
      </c>
      <c r="B130" t="s">
        <v>9</v>
      </c>
      <c r="C130" t="s">
        <v>85</v>
      </c>
      <c r="D130" t="s">
        <v>390</v>
      </c>
    </row>
    <row r="131" spans="1:4" x14ac:dyDescent="0.25">
      <c r="A131" t="s">
        <v>391</v>
      </c>
      <c r="B131" t="s">
        <v>9</v>
      </c>
      <c r="C131" t="s">
        <v>85</v>
      </c>
      <c r="D131" t="s">
        <v>392</v>
      </c>
    </row>
    <row r="132" spans="1:4" x14ac:dyDescent="0.25">
      <c r="A132" t="s">
        <v>393</v>
      </c>
      <c r="B132" t="s">
        <v>9</v>
      </c>
      <c r="C132" t="s">
        <v>87</v>
      </c>
      <c r="D132" t="s">
        <v>394</v>
      </c>
    </row>
    <row r="133" spans="1:4" x14ac:dyDescent="0.25">
      <c r="A133" t="s">
        <v>395</v>
      </c>
      <c r="B133" t="s">
        <v>9</v>
      </c>
      <c r="C133" t="s">
        <v>87</v>
      </c>
      <c r="D133" t="s">
        <v>396</v>
      </c>
    </row>
    <row r="134" spans="1:4" x14ac:dyDescent="0.25">
      <c r="A134" t="s">
        <v>397</v>
      </c>
      <c r="B134" t="s">
        <v>9</v>
      </c>
      <c r="C134" t="s">
        <v>87</v>
      </c>
      <c r="D134" t="s">
        <v>398</v>
      </c>
    </row>
    <row r="135" spans="1:4" x14ac:dyDescent="0.25">
      <c r="A135" t="s">
        <v>399</v>
      </c>
      <c r="B135" t="s">
        <v>9</v>
      </c>
      <c r="C135" t="s">
        <v>87</v>
      </c>
      <c r="D135" t="s">
        <v>400</v>
      </c>
    </row>
    <row r="136" spans="1:4" x14ac:dyDescent="0.25">
      <c r="A136" t="s">
        <v>401</v>
      </c>
      <c r="B136" t="s">
        <v>9</v>
      </c>
      <c r="C136" t="s">
        <v>87</v>
      </c>
      <c r="D136" t="s">
        <v>402</v>
      </c>
    </row>
    <row r="137" spans="1:4" x14ac:dyDescent="0.25">
      <c r="A137" t="s">
        <v>403</v>
      </c>
      <c r="B137" t="s">
        <v>9</v>
      </c>
      <c r="C137" t="s">
        <v>89</v>
      </c>
      <c r="D137" t="s">
        <v>404</v>
      </c>
    </row>
    <row r="138" spans="1:4" x14ac:dyDescent="0.25">
      <c r="A138" t="s">
        <v>405</v>
      </c>
      <c r="B138" t="s">
        <v>9</v>
      </c>
      <c r="C138" t="s">
        <v>89</v>
      </c>
      <c r="D138" t="s">
        <v>406</v>
      </c>
    </row>
    <row r="139" spans="1:4" x14ac:dyDescent="0.25">
      <c r="A139" t="s">
        <v>407</v>
      </c>
      <c r="B139" t="s">
        <v>9</v>
      </c>
      <c r="C139" t="s">
        <v>89</v>
      </c>
      <c r="D139" t="s">
        <v>408</v>
      </c>
    </row>
    <row r="140" spans="1:4" x14ac:dyDescent="0.25">
      <c r="A140" t="s">
        <v>409</v>
      </c>
      <c r="B140" t="s">
        <v>9</v>
      </c>
      <c r="C140" t="s">
        <v>89</v>
      </c>
      <c r="D140" t="s">
        <v>410</v>
      </c>
    </row>
    <row r="141" spans="1:4" x14ac:dyDescent="0.25">
      <c r="A141" t="s">
        <v>411</v>
      </c>
      <c r="B141" t="s">
        <v>9</v>
      </c>
      <c r="C141" t="s">
        <v>89</v>
      </c>
      <c r="D141" t="s">
        <v>412</v>
      </c>
    </row>
    <row r="142" spans="1:4" x14ac:dyDescent="0.25">
      <c r="A142" t="s">
        <v>413</v>
      </c>
      <c r="B142" t="s">
        <v>9</v>
      </c>
      <c r="C142" t="s">
        <v>91</v>
      </c>
      <c r="D142" t="s">
        <v>414</v>
      </c>
    </row>
    <row r="143" spans="1:4" x14ac:dyDescent="0.25">
      <c r="A143" t="s">
        <v>415</v>
      </c>
      <c r="B143" t="s">
        <v>9</v>
      </c>
      <c r="C143" t="s">
        <v>91</v>
      </c>
      <c r="D143" t="s">
        <v>416</v>
      </c>
    </row>
    <row r="144" spans="1:4" x14ac:dyDescent="0.25">
      <c r="A144" t="s">
        <v>417</v>
      </c>
      <c r="B144" t="s">
        <v>9</v>
      </c>
      <c r="C144" t="s">
        <v>91</v>
      </c>
      <c r="D144" t="s">
        <v>418</v>
      </c>
    </row>
    <row r="145" spans="1:4" x14ac:dyDescent="0.25">
      <c r="A145" t="s">
        <v>419</v>
      </c>
      <c r="B145" t="s">
        <v>9</v>
      </c>
      <c r="C145" t="s">
        <v>91</v>
      </c>
      <c r="D145" t="s">
        <v>420</v>
      </c>
    </row>
    <row r="146" spans="1:4" x14ac:dyDescent="0.25">
      <c r="A146" t="s">
        <v>421</v>
      </c>
      <c r="B146" t="s">
        <v>9</v>
      </c>
      <c r="C146" t="s">
        <v>91</v>
      </c>
      <c r="D146" t="s">
        <v>422</v>
      </c>
    </row>
    <row r="147" spans="1:4" x14ac:dyDescent="0.25">
      <c r="A147" t="s">
        <v>423</v>
      </c>
      <c r="B147" t="s">
        <v>9</v>
      </c>
      <c r="C147" t="s">
        <v>93</v>
      </c>
      <c r="D147" t="s">
        <v>424</v>
      </c>
    </row>
    <row r="148" spans="1:4" x14ac:dyDescent="0.25">
      <c r="A148" t="s">
        <v>425</v>
      </c>
      <c r="B148" t="s">
        <v>9</v>
      </c>
      <c r="C148" t="s">
        <v>93</v>
      </c>
      <c r="D148" t="s">
        <v>426</v>
      </c>
    </row>
    <row r="149" spans="1:4" x14ac:dyDescent="0.25">
      <c r="A149" t="s">
        <v>427</v>
      </c>
      <c r="B149" t="s">
        <v>9</v>
      </c>
      <c r="C149" t="s">
        <v>93</v>
      </c>
      <c r="D149" t="s">
        <v>428</v>
      </c>
    </row>
    <row r="150" spans="1:4" x14ac:dyDescent="0.25">
      <c r="A150" t="s">
        <v>429</v>
      </c>
      <c r="B150" t="s">
        <v>9</v>
      </c>
      <c r="C150" t="s">
        <v>93</v>
      </c>
      <c r="D150" t="s">
        <v>430</v>
      </c>
    </row>
    <row r="151" spans="1:4" x14ac:dyDescent="0.25">
      <c r="A151" t="s">
        <v>431</v>
      </c>
      <c r="B151" t="s">
        <v>9</v>
      </c>
      <c r="C151" t="s">
        <v>93</v>
      </c>
      <c r="D151" t="s">
        <v>432</v>
      </c>
    </row>
    <row r="152" spans="1:4" x14ac:dyDescent="0.25">
      <c r="A152" t="s">
        <v>433</v>
      </c>
      <c r="B152" t="s">
        <v>9</v>
      </c>
      <c r="C152" t="s">
        <v>95</v>
      </c>
      <c r="D152" t="s">
        <v>434</v>
      </c>
    </row>
    <row r="153" spans="1:4" x14ac:dyDescent="0.25">
      <c r="A153" t="s">
        <v>435</v>
      </c>
      <c r="B153" t="s">
        <v>9</v>
      </c>
      <c r="C153" t="s">
        <v>95</v>
      </c>
      <c r="D153" t="s">
        <v>436</v>
      </c>
    </row>
    <row r="154" spans="1:4" x14ac:dyDescent="0.25">
      <c r="A154" t="s">
        <v>437</v>
      </c>
      <c r="B154" t="s">
        <v>9</v>
      </c>
      <c r="C154" t="s">
        <v>95</v>
      </c>
      <c r="D154" t="s">
        <v>438</v>
      </c>
    </row>
    <row r="155" spans="1:4" x14ac:dyDescent="0.25">
      <c r="A155" t="s">
        <v>439</v>
      </c>
      <c r="B155" t="s">
        <v>9</v>
      </c>
      <c r="C155" t="s">
        <v>95</v>
      </c>
      <c r="D155" t="s">
        <v>440</v>
      </c>
    </row>
    <row r="156" spans="1:4" x14ac:dyDescent="0.25">
      <c r="A156" t="s">
        <v>441</v>
      </c>
      <c r="B156" t="s">
        <v>9</v>
      </c>
      <c r="C156" t="s">
        <v>95</v>
      </c>
      <c r="D156" t="s">
        <v>442</v>
      </c>
    </row>
    <row r="157" spans="1:4" x14ac:dyDescent="0.25">
      <c r="A157" t="s">
        <v>443</v>
      </c>
      <c r="B157" t="s">
        <v>9</v>
      </c>
      <c r="C157" t="s">
        <v>97</v>
      </c>
      <c r="D157" t="s">
        <v>444</v>
      </c>
    </row>
    <row r="158" spans="1:4" x14ac:dyDescent="0.25">
      <c r="A158" t="s">
        <v>445</v>
      </c>
      <c r="B158" t="s">
        <v>9</v>
      </c>
      <c r="C158" t="s">
        <v>97</v>
      </c>
      <c r="D158" t="s">
        <v>446</v>
      </c>
    </row>
    <row r="159" spans="1:4" x14ac:dyDescent="0.25">
      <c r="A159" t="s">
        <v>447</v>
      </c>
      <c r="B159" t="s">
        <v>9</v>
      </c>
      <c r="C159" t="s">
        <v>97</v>
      </c>
      <c r="D159" t="s">
        <v>448</v>
      </c>
    </row>
    <row r="160" spans="1:4" x14ac:dyDescent="0.25">
      <c r="A160" t="s">
        <v>449</v>
      </c>
      <c r="B160" t="s">
        <v>9</v>
      </c>
      <c r="C160" t="s">
        <v>97</v>
      </c>
      <c r="D160" t="s">
        <v>450</v>
      </c>
    </row>
    <row r="161" spans="1:4" x14ac:dyDescent="0.25">
      <c r="A161" t="s">
        <v>451</v>
      </c>
      <c r="B161" t="s">
        <v>9</v>
      </c>
      <c r="C161" t="s">
        <v>97</v>
      </c>
      <c r="D161" t="s">
        <v>452</v>
      </c>
    </row>
    <row r="162" spans="1:4" x14ac:dyDescent="0.25">
      <c r="A162" t="s">
        <v>453</v>
      </c>
      <c r="B162" t="s">
        <v>11</v>
      </c>
      <c r="C162" t="s">
        <v>99</v>
      </c>
      <c r="D162" t="s">
        <v>454</v>
      </c>
    </row>
    <row r="163" spans="1:4" x14ac:dyDescent="0.25">
      <c r="A163" t="s">
        <v>455</v>
      </c>
      <c r="B163" t="s">
        <v>11</v>
      </c>
      <c r="C163" t="s">
        <v>99</v>
      </c>
      <c r="D163" t="s">
        <v>456</v>
      </c>
    </row>
    <row r="164" spans="1:4" x14ac:dyDescent="0.25">
      <c r="A164" t="s">
        <v>457</v>
      </c>
      <c r="B164" t="s">
        <v>11</v>
      </c>
      <c r="C164" t="s">
        <v>99</v>
      </c>
      <c r="D164" t="s">
        <v>458</v>
      </c>
    </row>
    <row r="165" spans="1:4" x14ac:dyDescent="0.25">
      <c r="A165" t="s">
        <v>459</v>
      </c>
      <c r="B165" t="s">
        <v>11</v>
      </c>
      <c r="C165" t="s">
        <v>99</v>
      </c>
      <c r="D165" t="s">
        <v>460</v>
      </c>
    </row>
    <row r="166" spans="1:4" x14ac:dyDescent="0.25">
      <c r="A166" t="s">
        <v>461</v>
      </c>
      <c r="B166" t="s">
        <v>11</v>
      </c>
      <c r="C166" t="s">
        <v>99</v>
      </c>
      <c r="D166" t="s">
        <v>462</v>
      </c>
    </row>
    <row r="167" spans="1:4" x14ac:dyDescent="0.25">
      <c r="A167" t="s">
        <v>463</v>
      </c>
      <c r="B167" t="s">
        <v>11</v>
      </c>
      <c r="C167" t="s">
        <v>101</v>
      </c>
      <c r="D167" t="s">
        <v>464</v>
      </c>
    </row>
    <row r="168" spans="1:4" x14ac:dyDescent="0.25">
      <c r="A168" t="s">
        <v>465</v>
      </c>
      <c r="B168" t="s">
        <v>11</v>
      </c>
      <c r="C168" t="s">
        <v>101</v>
      </c>
      <c r="D168" t="s">
        <v>466</v>
      </c>
    </row>
    <row r="169" spans="1:4" x14ac:dyDescent="0.25">
      <c r="A169" t="s">
        <v>467</v>
      </c>
      <c r="B169" t="s">
        <v>11</v>
      </c>
      <c r="C169" t="s">
        <v>101</v>
      </c>
      <c r="D169" t="s">
        <v>468</v>
      </c>
    </row>
    <row r="170" spans="1:4" x14ac:dyDescent="0.25">
      <c r="A170" t="s">
        <v>469</v>
      </c>
      <c r="B170" t="s">
        <v>11</v>
      </c>
      <c r="C170" t="s">
        <v>101</v>
      </c>
      <c r="D170" t="s">
        <v>470</v>
      </c>
    </row>
    <row r="171" spans="1:4" x14ac:dyDescent="0.25">
      <c r="A171" t="s">
        <v>471</v>
      </c>
      <c r="B171" t="s">
        <v>11</v>
      </c>
      <c r="C171" t="s">
        <v>101</v>
      </c>
      <c r="D171" t="s">
        <v>472</v>
      </c>
    </row>
    <row r="172" spans="1:4" x14ac:dyDescent="0.25">
      <c r="A172" t="s">
        <v>473</v>
      </c>
      <c r="B172" t="s">
        <v>11</v>
      </c>
      <c r="C172" t="s">
        <v>103</v>
      </c>
      <c r="D172" t="s">
        <v>474</v>
      </c>
    </row>
    <row r="173" spans="1:4" x14ac:dyDescent="0.25">
      <c r="A173" t="s">
        <v>475</v>
      </c>
      <c r="B173" t="s">
        <v>11</v>
      </c>
      <c r="C173" t="s">
        <v>103</v>
      </c>
      <c r="D173" t="s">
        <v>476</v>
      </c>
    </row>
    <row r="174" spans="1:4" x14ac:dyDescent="0.25">
      <c r="A174" t="s">
        <v>477</v>
      </c>
      <c r="B174" t="s">
        <v>11</v>
      </c>
      <c r="C174" t="s">
        <v>103</v>
      </c>
      <c r="D174" t="s">
        <v>478</v>
      </c>
    </row>
    <row r="175" spans="1:4" x14ac:dyDescent="0.25">
      <c r="A175" t="s">
        <v>479</v>
      </c>
      <c r="B175" t="s">
        <v>11</v>
      </c>
      <c r="C175" t="s">
        <v>103</v>
      </c>
      <c r="D175" t="s">
        <v>480</v>
      </c>
    </row>
    <row r="176" spans="1:4" x14ac:dyDescent="0.25">
      <c r="A176" t="s">
        <v>481</v>
      </c>
      <c r="B176" t="s">
        <v>11</v>
      </c>
      <c r="C176" t="s">
        <v>103</v>
      </c>
      <c r="D176" t="s">
        <v>482</v>
      </c>
    </row>
    <row r="177" spans="1:4" x14ac:dyDescent="0.25">
      <c r="A177" t="s">
        <v>483</v>
      </c>
      <c r="B177" t="s">
        <v>11</v>
      </c>
      <c r="C177" t="s">
        <v>105</v>
      </c>
      <c r="D177" t="s">
        <v>484</v>
      </c>
    </row>
    <row r="178" spans="1:4" x14ac:dyDescent="0.25">
      <c r="A178" t="s">
        <v>485</v>
      </c>
      <c r="B178" t="s">
        <v>11</v>
      </c>
      <c r="C178" t="s">
        <v>105</v>
      </c>
      <c r="D178" t="s">
        <v>486</v>
      </c>
    </row>
    <row r="179" spans="1:4" x14ac:dyDescent="0.25">
      <c r="A179" t="s">
        <v>487</v>
      </c>
      <c r="B179" t="s">
        <v>11</v>
      </c>
      <c r="C179" t="s">
        <v>105</v>
      </c>
      <c r="D179" t="s">
        <v>488</v>
      </c>
    </row>
    <row r="180" spans="1:4" x14ac:dyDescent="0.25">
      <c r="A180" t="s">
        <v>489</v>
      </c>
      <c r="B180" t="s">
        <v>11</v>
      </c>
      <c r="C180" t="s">
        <v>105</v>
      </c>
      <c r="D180" t="s">
        <v>490</v>
      </c>
    </row>
    <row r="181" spans="1:4" x14ac:dyDescent="0.25">
      <c r="A181" t="s">
        <v>491</v>
      </c>
      <c r="B181" t="s">
        <v>11</v>
      </c>
      <c r="C181" t="s">
        <v>105</v>
      </c>
      <c r="D181" t="s">
        <v>492</v>
      </c>
    </row>
    <row r="182" spans="1:4" x14ac:dyDescent="0.25">
      <c r="A182" t="s">
        <v>493</v>
      </c>
      <c r="B182" t="s">
        <v>11</v>
      </c>
      <c r="C182" t="s">
        <v>107</v>
      </c>
      <c r="D182" t="s">
        <v>494</v>
      </c>
    </row>
    <row r="183" spans="1:4" x14ac:dyDescent="0.25">
      <c r="A183" t="s">
        <v>495</v>
      </c>
      <c r="B183" t="s">
        <v>11</v>
      </c>
      <c r="C183" t="s">
        <v>107</v>
      </c>
      <c r="D183" t="s">
        <v>496</v>
      </c>
    </row>
    <row r="184" spans="1:4" x14ac:dyDescent="0.25">
      <c r="A184" t="s">
        <v>497</v>
      </c>
      <c r="B184" t="s">
        <v>11</v>
      </c>
      <c r="C184" t="s">
        <v>107</v>
      </c>
      <c r="D184" t="s">
        <v>498</v>
      </c>
    </row>
    <row r="185" spans="1:4" x14ac:dyDescent="0.25">
      <c r="A185" t="s">
        <v>499</v>
      </c>
      <c r="B185" t="s">
        <v>11</v>
      </c>
      <c r="C185" t="s">
        <v>107</v>
      </c>
      <c r="D185" t="s">
        <v>500</v>
      </c>
    </row>
    <row r="186" spans="1:4" x14ac:dyDescent="0.25">
      <c r="A186" t="s">
        <v>501</v>
      </c>
      <c r="B186" t="s">
        <v>11</v>
      </c>
      <c r="C186" t="s">
        <v>107</v>
      </c>
      <c r="D186" t="s">
        <v>502</v>
      </c>
    </row>
    <row r="187" spans="1:4" x14ac:dyDescent="0.25">
      <c r="A187" t="s">
        <v>503</v>
      </c>
      <c r="B187" t="s">
        <v>11</v>
      </c>
      <c r="C187" t="s">
        <v>109</v>
      </c>
      <c r="D187" t="s">
        <v>504</v>
      </c>
    </row>
    <row r="188" spans="1:4" x14ac:dyDescent="0.25">
      <c r="A188" t="s">
        <v>505</v>
      </c>
      <c r="B188" t="s">
        <v>11</v>
      </c>
      <c r="C188" t="s">
        <v>109</v>
      </c>
      <c r="D188" t="s">
        <v>506</v>
      </c>
    </row>
    <row r="189" spans="1:4" x14ac:dyDescent="0.25">
      <c r="A189" t="s">
        <v>507</v>
      </c>
      <c r="B189" t="s">
        <v>11</v>
      </c>
      <c r="C189" t="s">
        <v>109</v>
      </c>
      <c r="D189" t="s">
        <v>508</v>
      </c>
    </row>
    <row r="190" spans="1:4" x14ac:dyDescent="0.25">
      <c r="A190" t="s">
        <v>509</v>
      </c>
      <c r="B190" t="s">
        <v>11</v>
      </c>
      <c r="C190" t="s">
        <v>109</v>
      </c>
      <c r="D190" t="s">
        <v>510</v>
      </c>
    </row>
    <row r="191" spans="1:4" x14ac:dyDescent="0.25">
      <c r="A191" t="s">
        <v>511</v>
      </c>
      <c r="B191" t="s">
        <v>11</v>
      </c>
      <c r="C191" t="s">
        <v>109</v>
      </c>
      <c r="D191" t="s">
        <v>512</v>
      </c>
    </row>
    <row r="192" spans="1:4" x14ac:dyDescent="0.25">
      <c r="A192" t="s">
        <v>513</v>
      </c>
      <c r="B192" t="s">
        <v>11</v>
      </c>
      <c r="C192" t="s">
        <v>111</v>
      </c>
      <c r="D192" t="s">
        <v>514</v>
      </c>
    </row>
    <row r="193" spans="1:4" x14ac:dyDescent="0.25">
      <c r="A193" t="s">
        <v>515</v>
      </c>
      <c r="B193" t="s">
        <v>11</v>
      </c>
      <c r="C193" t="s">
        <v>111</v>
      </c>
      <c r="D193" t="s">
        <v>516</v>
      </c>
    </row>
    <row r="194" spans="1:4" x14ac:dyDescent="0.25">
      <c r="A194" t="s">
        <v>517</v>
      </c>
      <c r="B194" t="s">
        <v>11</v>
      </c>
      <c r="C194" t="s">
        <v>111</v>
      </c>
      <c r="D194" t="s">
        <v>518</v>
      </c>
    </row>
    <row r="195" spans="1:4" x14ac:dyDescent="0.25">
      <c r="A195" t="s">
        <v>519</v>
      </c>
      <c r="B195" t="s">
        <v>11</v>
      </c>
      <c r="C195" t="s">
        <v>111</v>
      </c>
      <c r="D195" t="s">
        <v>520</v>
      </c>
    </row>
    <row r="196" spans="1:4" x14ac:dyDescent="0.25">
      <c r="A196" t="s">
        <v>521</v>
      </c>
      <c r="B196" t="s">
        <v>11</v>
      </c>
      <c r="C196" t="s">
        <v>111</v>
      </c>
      <c r="D196" t="s">
        <v>522</v>
      </c>
    </row>
    <row r="197" spans="1:4" x14ac:dyDescent="0.25">
      <c r="A197" t="s">
        <v>523</v>
      </c>
      <c r="B197" t="s">
        <v>11</v>
      </c>
      <c r="C197" t="s">
        <v>113</v>
      </c>
      <c r="D197" t="s">
        <v>524</v>
      </c>
    </row>
    <row r="198" spans="1:4" x14ac:dyDescent="0.25">
      <c r="A198" t="s">
        <v>525</v>
      </c>
      <c r="B198" t="s">
        <v>11</v>
      </c>
      <c r="C198" t="s">
        <v>113</v>
      </c>
      <c r="D198" t="s">
        <v>526</v>
      </c>
    </row>
    <row r="199" spans="1:4" x14ac:dyDescent="0.25">
      <c r="A199" t="s">
        <v>527</v>
      </c>
      <c r="B199" t="s">
        <v>11</v>
      </c>
      <c r="C199" t="s">
        <v>113</v>
      </c>
      <c r="D199" t="s">
        <v>528</v>
      </c>
    </row>
    <row r="200" spans="1:4" x14ac:dyDescent="0.25">
      <c r="A200" t="s">
        <v>529</v>
      </c>
      <c r="B200" t="s">
        <v>11</v>
      </c>
      <c r="C200" t="s">
        <v>113</v>
      </c>
      <c r="D200" t="s">
        <v>530</v>
      </c>
    </row>
    <row r="201" spans="1:4" x14ac:dyDescent="0.25">
      <c r="A201" t="s">
        <v>531</v>
      </c>
      <c r="B201" t="s">
        <v>11</v>
      </c>
      <c r="C201" t="s">
        <v>113</v>
      </c>
      <c r="D201" t="s">
        <v>532</v>
      </c>
    </row>
    <row r="202" spans="1:4" x14ac:dyDescent="0.25">
      <c r="A202" t="s">
        <v>533</v>
      </c>
      <c r="B202" t="s">
        <v>13</v>
      </c>
      <c r="C202" t="s">
        <v>115</v>
      </c>
      <c r="D202" t="s">
        <v>534</v>
      </c>
    </row>
    <row r="203" spans="1:4" x14ac:dyDescent="0.25">
      <c r="A203" t="s">
        <v>535</v>
      </c>
      <c r="B203" t="s">
        <v>13</v>
      </c>
      <c r="C203" t="s">
        <v>115</v>
      </c>
      <c r="D203" t="s">
        <v>536</v>
      </c>
    </row>
    <row r="204" spans="1:4" x14ac:dyDescent="0.25">
      <c r="A204" t="s">
        <v>537</v>
      </c>
      <c r="B204" t="s">
        <v>13</v>
      </c>
      <c r="C204" t="s">
        <v>115</v>
      </c>
      <c r="D204" t="s">
        <v>538</v>
      </c>
    </row>
    <row r="205" spans="1:4" x14ac:dyDescent="0.25">
      <c r="A205" t="s">
        <v>539</v>
      </c>
      <c r="B205" t="s">
        <v>13</v>
      </c>
      <c r="C205" t="s">
        <v>115</v>
      </c>
      <c r="D205" t="s">
        <v>540</v>
      </c>
    </row>
    <row r="206" spans="1:4" x14ac:dyDescent="0.25">
      <c r="A206" t="s">
        <v>541</v>
      </c>
      <c r="B206" t="s">
        <v>13</v>
      </c>
      <c r="C206" t="s">
        <v>115</v>
      </c>
      <c r="D206" t="s">
        <v>542</v>
      </c>
    </row>
    <row r="207" spans="1:4" x14ac:dyDescent="0.25">
      <c r="A207" t="s">
        <v>543</v>
      </c>
      <c r="B207" t="s">
        <v>13</v>
      </c>
      <c r="C207" t="s">
        <v>117</v>
      </c>
      <c r="D207" t="s">
        <v>544</v>
      </c>
    </row>
    <row r="208" spans="1:4" x14ac:dyDescent="0.25">
      <c r="A208" t="s">
        <v>545</v>
      </c>
      <c r="B208" t="s">
        <v>13</v>
      </c>
      <c r="C208" t="s">
        <v>117</v>
      </c>
      <c r="D208" t="s">
        <v>546</v>
      </c>
    </row>
    <row r="209" spans="1:4" x14ac:dyDescent="0.25">
      <c r="A209" t="s">
        <v>547</v>
      </c>
      <c r="B209" t="s">
        <v>13</v>
      </c>
      <c r="C209" t="s">
        <v>117</v>
      </c>
      <c r="D209" t="s">
        <v>548</v>
      </c>
    </row>
    <row r="210" spans="1:4" x14ac:dyDescent="0.25">
      <c r="A210" t="s">
        <v>549</v>
      </c>
      <c r="B210" t="s">
        <v>13</v>
      </c>
      <c r="C210" t="s">
        <v>117</v>
      </c>
      <c r="D210" t="s">
        <v>550</v>
      </c>
    </row>
    <row r="211" spans="1:4" x14ac:dyDescent="0.25">
      <c r="A211" t="s">
        <v>551</v>
      </c>
      <c r="B211" t="s">
        <v>13</v>
      </c>
      <c r="C211" t="s">
        <v>117</v>
      </c>
      <c r="D211" t="s">
        <v>552</v>
      </c>
    </row>
    <row r="212" spans="1:4" x14ac:dyDescent="0.25">
      <c r="A212" t="s">
        <v>553</v>
      </c>
      <c r="B212" t="s">
        <v>13</v>
      </c>
      <c r="C212" t="s">
        <v>119</v>
      </c>
      <c r="D212" t="s">
        <v>554</v>
      </c>
    </row>
    <row r="213" spans="1:4" x14ac:dyDescent="0.25">
      <c r="A213" t="s">
        <v>555</v>
      </c>
      <c r="B213" t="s">
        <v>13</v>
      </c>
      <c r="C213" t="s">
        <v>119</v>
      </c>
      <c r="D213" t="s">
        <v>556</v>
      </c>
    </row>
    <row r="214" spans="1:4" x14ac:dyDescent="0.25">
      <c r="A214" t="s">
        <v>557</v>
      </c>
      <c r="B214" t="s">
        <v>13</v>
      </c>
      <c r="C214" t="s">
        <v>119</v>
      </c>
      <c r="D214" t="s">
        <v>558</v>
      </c>
    </row>
    <row r="215" spans="1:4" x14ac:dyDescent="0.25">
      <c r="A215" t="s">
        <v>559</v>
      </c>
      <c r="B215" t="s">
        <v>13</v>
      </c>
      <c r="C215" t="s">
        <v>119</v>
      </c>
      <c r="D215" t="s">
        <v>560</v>
      </c>
    </row>
    <row r="216" spans="1:4" x14ac:dyDescent="0.25">
      <c r="A216" t="s">
        <v>561</v>
      </c>
      <c r="B216" t="s">
        <v>13</v>
      </c>
      <c r="C216" t="s">
        <v>119</v>
      </c>
      <c r="D216" t="s">
        <v>562</v>
      </c>
    </row>
    <row r="217" spans="1:4" x14ac:dyDescent="0.25">
      <c r="A217" t="s">
        <v>563</v>
      </c>
      <c r="B217" t="s">
        <v>13</v>
      </c>
      <c r="C217" t="s">
        <v>121</v>
      </c>
      <c r="D217" t="s">
        <v>564</v>
      </c>
    </row>
    <row r="218" spans="1:4" x14ac:dyDescent="0.25">
      <c r="A218" t="s">
        <v>565</v>
      </c>
      <c r="B218" t="s">
        <v>13</v>
      </c>
      <c r="C218" t="s">
        <v>121</v>
      </c>
      <c r="D218" t="s">
        <v>566</v>
      </c>
    </row>
    <row r="219" spans="1:4" x14ac:dyDescent="0.25">
      <c r="A219" t="s">
        <v>567</v>
      </c>
      <c r="B219" t="s">
        <v>13</v>
      </c>
      <c r="C219" t="s">
        <v>121</v>
      </c>
      <c r="D219" t="s">
        <v>568</v>
      </c>
    </row>
    <row r="220" spans="1:4" x14ac:dyDescent="0.25">
      <c r="A220" t="s">
        <v>569</v>
      </c>
      <c r="B220" t="s">
        <v>13</v>
      </c>
      <c r="C220" t="s">
        <v>121</v>
      </c>
      <c r="D220" t="s">
        <v>570</v>
      </c>
    </row>
    <row r="221" spans="1:4" x14ac:dyDescent="0.25">
      <c r="A221" t="s">
        <v>571</v>
      </c>
      <c r="B221" t="s">
        <v>13</v>
      </c>
      <c r="C221" t="s">
        <v>121</v>
      </c>
      <c r="D221" t="s">
        <v>572</v>
      </c>
    </row>
    <row r="222" spans="1:4" x14ac:dyDescent="0.25">
      <c r="A222" t="s">
        <v>573</v>
      </c>
      <c r="B222" t="s">
        <v>13</v>
      </c>
      <c r="C222" t="s">
        <v>123</v>
      </c>
      <c r="D222" t="s">
        <v>574</v>
      </c>
    </row>
    <row r="223" spans="1:4" x14ac:dyDescent="0.25">
      <c r="A223" t="s">
        <v>575</v>
      </c>
      <c r="B223" t="s">
        <v>13</v>
      </c>
      <c r="C223" t="s">
        <v>123</v>
      </c>
      <c r="D223" t="s">
        <v>576</v>
      </c>
    </row>
    <row r="224" spans="1:4" x14ac:dyDescent="0.25">
      <c r="A224" t="s">
        <v>577</v>
      </c>
      <c r="B224" t="s">
        <v>13</v>
      </c>
      <c r="C224" t="s">
        <v>123</v>
      </c>
      <c r="D224" t="s">
        <v>578</v>
      </c>
    </row>
    <row r="225" spans="1:4" x14ac:dyDescent="0.25">
      <c r="A225" t="s">
        <v>579</v>
      </c>
      <c r="B225" t="s">
        <v>13</v>
      </c>
      <c r="C225" t="s">
        <v>123</v>
      </c>
      <c r="D225" t="s">
        <v>580</v>
      </c>
    </row>
    <row r="226" spans="1:4" x14ac:dyDescent="0.25">
      <c r="A226" t="s">
        <v>581</v>
      </c>
      <c r="B226" t="s">
        <v>13</v>
      </c>
      <c r="C226" t="s">
        <v>123</v>
      </c>
      <c r="D226" t="s">
        <v>582</v>
      </c>
    </row>
    <row r="227" spans="1:4" x14ac:dyDescent="0.25">
      <c r="A227" t="s">
        <v>583</v>
      </c>
      <c r="B227" t="s">
        <v>13</v>
      </c>
      <c r="C227" t="s">
        <v>125</v>
      </c>
      <c r="D227" t="s">
        <v>584</v>
      </c>
    </row>
    <row r="228" spans="1:4" x14ac:dyDescent="0.25">
      <c r="A228" t="s">
        <v>585</v>
      </c>
      <c r="B228" t="s">
        <v>13</v>
      </c>
      <c r="C228" t="s">
        <v>125</v>
      </c>
      <c r="D228" t="s">
        <v>586</v>
      </c>
    </row>
    <row r="229" spans="1:4" x14ac:dyDescent="0.25">
      <c r="A229" t="s">
        <v>587</v>
      </c>
      <c r="B229" t="s">
        <v>13</v>
      </c>
      <c r="C229" t="s">
        <v>125</v>
      </c>
      <c r="D229" t="s">
        <v>588</v>
      </c>
    </row>
    <row r="230" spans="1:4" x14ac:dyDescent="0.25">
      <c r="A230" t="s">
        <v>589</v>
      </c>
      <c r="B230" t="s">
        <v>13</v>
      </c>
      <c r="C230" t="s">
        <v>125</v>
      </c>
      <c r="D230" t="s">
        <v>590</v>
      </c>
    </row>
    <row r="231" spans="1:4" x14ac:dyDescent="0.25">
      <c r="A231" t="s">
        <v>591</v>
      </c>
      <c r="B231" t="s">
        <v>13</v>
      </c>
      <c r="C231" t="s">
        <v>125</v>
      </c>
      <c r="D231" t="s">
        <v>592</v>
      </c>
    </row>
    <row r="232" spans="1:4" x14ac:dyDescent="0.25">
      <c r="A232" t="s">
        <v>593</v>
      </c>
      <c r="B232" t="s">
        <v>13</v>
      </c>
      <c r="C232" t="s">
        <v>127</v>
      </c>
      <c r="D232" t="s">
        <v>594</v>
      </c>
    </row>
    <row r="233" spans="1:4" x14ac:dyDescent="0.25">
      <c r="A233" t="s">
        <v>595</v>
      </c>
      <c r="B233" t="s">
        <v>13</v>
      </c>
      <c r="C233" t="s">
        <v>127</v>
      </c>
      <c r="D233" t="s">
        <v>596</v>
      </c>
    </row>
    <row r="234" spans="1:4" x14ac:dyDescent="0.25">
      <c r="A234" t="s">
        <v>597</v>
      </c>
      <c r="B234" t="s">
        <v>13</v>
      </c>
      <c r="C234" t="s">
        <v>127</v>
      </c>
      <c r="D234" t="s">
        <v>598</v>
      </c>
    </row>
    <row r="235" spans="1:4" x14ac:dyDescent="0.25">
      <c r="A235" t="s">
        <v>599</v>
      </c>
      <c r="B235" t="s">
        <v>13</v>
      </c>
      <c r="C235" t="s">
        <v>127</v>
      </c>
      <c r="D235" t="s">
        <v>600</v>
      </c>
    </row>
    <row r="236" spans="1:4" x14ac:dyDescent="0.25">
      <c r="A236" t="s">
        <v>601</v>
      </c>
      <c r="B236" t="s">
        <v>13</v>
      </c>
      <c r="C236" t="s">
        <v>127</v>
      </c>
      <c r="D236" t="s">
        <v>602</v>
      </c>
    </row>
    <row r="237" spans="1:4" x14ac:dyDescent="0.25">
      <c r="A237" t="s">
        <v>603</v>
      </c>
      <c r="B237" t="s">
        <v>13</v>
      </c>
      <c r="C237" t="s">
        <v>129</v>
      </c>
      <c r="D237" t="s">
        <v>604</v>
      </c>
    </row>
    <row r="238" spans="1:4" x14ac:dyDescent="0.25">
      <c r="A238" t="s">
        <v>605</v>
      </c>
      <c r="B238" t="s">
        <v>13</v>
      </c>
      <c r="C238" t="s">
        <v>129</v>
      </c>
      <c r="D238" t="s">
        <v>606</v>
      </c>
    </row>
    <row r="239" spans="1:4" x14ac:dyDescent="0.25">
      <c r="A239" t="s">
        <v>607</v>
      </c>
      <c r="B239" t="s">
        <v>13</v>
      </c>
      <c r="C239" t="s">
        <v>129</v>
      </c>
      <c r="D239" t="s">
        <v>608</v>
      </c>
    </row>
    <row r="240" spans="1:4" x14ac:dyDescent="0.25">
      <c r="A240" t="s">
        <v>609</v>
      </c>
      <c r="B240" t="s">
        <v>13</v>
      </c>
      <c r="C240" t="s">
        <v>129</v>
      </c>
      <c r="D240" t="s">
        <v>610</v>
      </c>
    </row>
    <row r="241" spans="1:4" x14ac:dyDescent="0.25">
      <c r="A241" t="s">
        <v>611</v>
      </c>
      <c r="B241" t="s">
        <v>13</v>
      </c>
      <c r="C241" t="s">
        <v>129</v>
      </c>
      <c r="D241" t="s">
        <v>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tabSelected="1" workbookViewId="0">
      <selection activeCell="C2" sqref="C2"/>
    </sheetView>
  </sheetViews>
  <sheetFormatPr defaultRowHeight="15" x14ac:dyDescent="0.25"/>
  <cols>
    <col min="1" max="1" width="12.28515625" bestFit="1" customWidth="1"/>
    <col min="2" max="2" width="50.5703125" bestFit="1" customWidth="1"/>
    <col min="3" max="3" width="49.7109375" bestFit="1" customWidth="1"/>
    <col min="4" max="4" width="18.28515625" bestFit="1" customWidth="1"/>
    <col min="9" max="9" width="38.140625" hidden="1" customWidth="1"/>
    <col min="11" max="24" width="0" hidden="1" customWidth="1"/>
    <col min="25" max="25" width="54.7109375" bestFit="1" customWidth="1"/>
  </cols>
  <sheetData>
    <row r="1" spans="1:26" x14ac:dyDescent="0.25">
      <c r="A1" t="s">
        <v>1</v>
      </c>
      <c r="B1" t="s">
        <v>131</v>
      </c>
      <c r="C1" t="s">
        <v>132</v>
      </c>
      <c r="D1" s="1" t="s">
        <v>613</v>
      </c>
      <c r="E1" s="1" t="s">
        <v>614</v>
      </c>
      <c r="F1" s="1" t="s">
        <v>615</v>
      </c>
      <c r="G1" s="1" t="s">
        <v>616</v>
      </c>
      <c r="H1" s="1" t="s">
        <v>617</v>
      </c>
      <c r="I1" t="s">
        <v>618</v>
      </c>
    </row>
    <row r="2" spans="1:26" x14ac:dyDescent="0.25">
      <c r="A2" t="s">
        <v>620</v>
      </c>
      <c r="B2" t="s">
        <v>35</v>
      </c>
      <c r="C2" t="s">
        <v>136</v>
      </c>
      <c r="D2" s="2"/>
      <c r="H2">
        <v>0</v>
      </c>
      <c r="I2" t="str">
        <f>SUBSTITUTE(SUBSTITUTE(SUBSTITUTE(SUBSTITUTE(SUBSTITUTE(SUBSTITUTE(B2,"á","a"),"é","e"),"í","i"),"ó","o"),"ú","u")," ","_")</f>
        <v>Melhorar_a_comunicação_com_meus_pais</v>
      </c>
      <c r="J2" t="str">
        <f t="array" ref="J2">IFERROR(INDEX(Objetivos!$A$2:$A$100,MATCH(1,(Objetivos!$B$2:$B$100=VLOOKUP(A2,ListasAuxiliares!$A$2:$B$7,2,FALSE))*(Objetivos!$C$2:$C$100=B2),0)),"")</f>
        <v/>
      </c>
      <c r="Z2" t="str">
        <f>I2</f>
        <v>Melhorar_a_comunicação_com_meus_pais</v>
      </c>
    </row>
    <row r="3" spans="1:26" x14ac:dyDescent="0.25">
      <c r="A3" t="s">
        <v>620</v>
      </c>
      <c r="B3" t="s">
        <v>37</v>
      </c>
      <c r="I3" t="str">
        <f t="shared" ref="I3:I49" si="0">SUBSTITUTE(SUBSTITUTE(SUBSTITUTE(SUBSTITUTE(SUBSTITUTE(SUBSTITUTE(B3,"á","a"),"é","e"),"í","i"),"ó","o"),"ú","u")," ","_")</f>
        <v>Ajudar_nas_tarefas_de_casa_com_regularidade</v>
      </c>
    </row>
    <row r="4" spans="1:26" x14ac:dyDescent="0.25">
      <c r="A4" t="s">
        <v>620</v>
      </c>
      <c r="B4" t="s">
        <v>39</v>
      </c>
      <c r="I4" t="str">
        <f t="shared" si="0"/>
        <v>Passar_tempo_de_qualidade_com_minha_familia</v>
      </c>
    </row>
    <row r="5" spans="1:26" x14ac:dyDescent="0.25">
      <c r="A5" t="s">
        <v>620</v>
      </c>
      <c r="B5" t="s">
        <v>41</v>
      </c>
      <c r="I5" t="str">
        <f t="shared" si="0"/>
        <v>Ser_mais_paciente_com_meus_irmãos_ou_parentes</v>
      </c>
    </row>
    <row r="6" spans="1:26" x14ac:dyDescent="0.25">
      <c r="A6" t="s">
        <v>620</v>
      </c>
      <c r="B6" t="s">
        <v>43</v>
      </c>
      <c r="I6" t="str">
        <f t="shared" si="0"/>
        <v>Expressar_gratidão_e_carinho_dentro_de_casa</v>
      </c>
    </row>
    <row r="7" spans="1:26" x14ac:dyDescent="0.25">
      <c r="A7" t="s">
        <v>620</v>
      </c>
      <c r="B7" t="s">
        <v>45</v>
      </c>
      <c r="I7" t="str">
        <f t="shared" si="0"/>
        <v>Evitar_discussões_desnecessarias</v>
      </c>
    </row>
    <row r="8" spans="1:26" x14ac:dyDescent="0.25">
      <c r="A8" t="s">
        <v>620</v>
      </c>
      <c r="B8" t="s">
        <v>47</v>
      </c>
      <c r="I8" t="str">
        <f t="shared" si="0"/>
        <v>Orar_com_minha_familia_regularmente</v>
      </c>
    </row>
    <row r="9" spans="1:26" x14ac:dyDescent="0.25">
      <c r="A9" t="s">
        <v>620</v>
      </c>
      <c r="B9" t="s">
        <v>49</v>
      </c>
      <c r="I9" t="str">
        <f t="shared" si="0"/>
        <v>Respeitar_os_horarios_e_regras_do_lar</v>
      </c>
    </row>
    <row r="10" spans="1:26" x14ac:dyDescent="0.25">
      <c r="A10" t="s">
        <v>5</v>
      </c>
      <c r="B10" t="s">
        <v>51</v>
      </c>
      <c r="I10" t="str">
        <f t="shared" si="0"/>
        <v>Frequentar_os_cultos_com_regularidade</v>
      </c>
    </row>
    <row r="11" spans="1:26" x14ac:dyDescent="0.25">
      <c r="A11" t="s">
        <v>5</v>
      </c>
      <c r="B11" t="s">
        <v>53</v>
      </c>
      <c r="I11" t="str">
        <f t="shared" si="0"/>
        <v>Participar_ativamente_do_ministerio_de_jovens</v>
      </c>
    </row>
    <row r="12" spans="1:26" x14ac:dyDescent="0.25">
      <c r="A12" t="s">
        <v>5</v>
      </c>
      <c r="B12" t="s">
        <v>55</v>
      </c>
      <c r="I12" t="str">
        <f t="shared" si="0"/>
        <v>Servir_em_algum_ministerio_da_igreja</v>
      </c>
    </row>
    <row r="13" spans="1:26" x14ac:dyDescent="0.25">
      <c r="A13" t="s">
        <v>5</v>
      </c>
      <c r="B13" t="s">
        <v>57</v>
      </c>
      <c r="I13" t="str">
        <f t="shared" si="0"/>
        <v>Orar_e_ler_a_Biblia_diariamente</v>
      </c>
    </row>
    <row r="14" spans="1:26" x14ac:dyDescent="0.25">
      <c r="A14" t="s">
        <v>5</v>
      </c>
      <c r="B14" t="s">
        <v>59</v>
      </c>
      <c r="I14" t="str">
        <f t="shared" si="0"/>
        <v>Testemunhar_minha_fe_com_sabedoria</v>
      </c>
    </row>
    <row r="15" spans="1:26" x14ac:dyDescent="0.25">
      <c r="A15" t="s">
        <v>5</v>
      </c>
      <c r="B15" t="s">
        <v>61</v>
      </c>
      <c r="I15" t="str">
        <f t="shared" si="0"/>
        <v>Apoiar_os_novos_membros_e_visitantes</v>
      </c>
    </row>
    <row r="16" spans="1:26" x14ac:dyDescent="0.25">
      <c r="A16" t="s">
        <v>5</v>
      </c>
      <c r="B16" t="s">
        <v>63</v>
      </c>
      <c r="I16" t="str">
        <f t="shared" si="0"/>
        <v>Ser_pontual_e_comprometido_nas_atividades</v>
      </c>
    </row>
    <row r="17" spans="1:9" x14ac:dyDescent="0.25">
      <c r="A17" t="s">
        <v>5</v>
      </c>
      <c r="B17" t="s">
        <v>65</v>
      </c>
      <c r="I17" t="str">
        <f t="shared" si="0"/>
        <v>Buscar_conselhos_com_lideres_espirituais</v>
      </c>
    </row>
    <row r="18" spans="1:9" x14ac:dyDescent="0.25">
      <c r="A18" t="s">
        <v>7</v>
      </c>
      <c r="B18" t="s">
        <v>67</v>
      </c>
      <c r="I18" t="str">
        <f t="shared" si="0"/>
        <v>Organizar_melhor_meus_estudos_e_prazos</v>
      </c>
    </row>
    <row r="19" spans="1:9" x14ac:dyDescent="0.25">
      <c r="A19" t="s">
        <v>7</v>
      </c>
      <c r="B19" t="s">
        <v>69</v>
      </c>
      <c r="I19" t="str">
        <f t="shared" si="0"/>
        <v>Melhorar_minha_participação_nas_aulas</v>
      </c>
    </row>
    <row r="20" spans="1:9" x14ac:dyDescent="0.25">
      <c r="A20" t="s">
        <v>7</v>
      </c>
      <c r="B20" t="s">
        <v>71</v>
      </c>
      <c r="I20" t="str">
        <f t="shared" si="0"/>
        <v>Cuidar_do_meu_comportamento_escolar</v>
      </c>
    </row>
    <row r="21" spans="1:9" x14ac:dyDescent="0.25">
      <c r="A21" t="s">
        <v>7</v>
      </c>
      <c r="B21" t="s">
        <v>73</v>
      </c>
      <c r="I21" t="str">
        <f t="shared" si="0"/>
        <v>Buscar_ajuda_quando_tiver_dificuldades</v>
      </c>
    </row>
    <row r="22" spans="1:9" x14ac:dyDescent="0.25">
      <c r="A22" t="s">
        <v>7</v>
      </c>
      <c r="B22" t="s">
        <v>75</v>
      </c>
      <c r="I22" t="str">
        <f t="shared" si="0"/>
        <v>Aumentar_minha_media_em_pelo_menos_uma_disciplina</v>
      </c>
    </row>
    <row r="23" spans="1:9" x14ac:dyDescent="0.25">
      <c r="A23" t="s">
        <v>7</v>
      </c>
      <c r="B23" t="s">
        <v>77</v>
      </c>
      <c r="I23" t="str">
        <f t="shared" si="0"/>
        <v>Respeitar_professores_e_colegas</v>
      </c>
    </row>
    <row r="24" spans="1:9" x14ac:dyDescent="0.25">
      <c r="A24" t="s">
        <v>7</v>
      </c>
      <c r="B24" t="s">
        <v>79</v>
      </c>
      <c r="I24" t="str">
        <f t="shared" si="0"/>
        <v>Evitar_distrações_em_sala_de_aula</v>
      </c>
    </row>
    <row r="25" spans="1:9" x14ac:dyDescent="0.25">
      <c r="A25" t="s">
        <v>7</v>
      </c>
      <c r="B25" t="s">
        <v>81</v>
      </c>
      <c r="I25" t="str">
        <f t="shared" si="0"/>
        <v>Montar_um_plano_de_estudos_realista</v>
      </c>
    </row>
    <row r="26" spans="1:9" x14ac:dyDescent="0.25">
      <c r="A26" t="s">
        <v>9</v>
      </c>
      <c r="B26" t="s">
        <v>83</v>
      </c>
      <c r="I26" t="str">
        <f t="shared" si="0"/>
        <v>Valorizar_os_verdadeiros_amigos</v>
      </c>
    </row>
    <row r="27" spans="1:9" x14ac:dyDescent="0.25">
      <c r="A27" t="s">
        <v>9</v>
      </c>
      <c r="B27" t="s">
        <v>85</v>
      </c>
      <c r="I27" t="str">
        <f t="shared" si="0"/>
        <v>Ser_mais_presente_nos_momentos_dificeis</v>
      </c>
    </row>
    <row r="28" spans="1:9" x14ac:dyDescent="0.25">
      <c r="A28" t="s">
        <v>9</v>
      </c>
      <c r="B28" t="s">
        <v>87</v>
      </c>
      <c r="I28" t="str">
        <f t="shared" si="0"/>
        <v>Dar_bons_conselhos_quando_for_procurado</v>
      </c>
    </row>
    <row r="29" spans="1:9" x14ac:dyDescent="0.25">
      <c r="A29" t="s">
        <v>9</v>
      </c>
      <c r="B29" t="s">
        <v>89</v>
      </c>
      <c r="I29" t="str">
        <f t="shared" si="0"/>
        <v>Manter_contato_com_amigos_antigos</v>
      </c>
    </row>
    <row r="30" spans="1:9" x14ac:dyDescent="0.25">
      <c r="A30" t="s">
        <v>9</v>
      </c>
      <c r="B30" t="s">
        <v>91</v>
      </c>
      <c r="I30" t="str">
        <f t="shared" si="0"/>
        <v>Evitar_fofocas_e_julgamentos</v>
      </c>
    </row>
    <row r="31" spans="1:9" x14ac:dyDescent="0.25">
      <c r="A31" t="s">
        <v>9</v>
      </c>
      <c r="B31" t="s">
        <v>93</v>
      </c>
      <c r="I31" t="str">
        <f t="shared" si="0"/>
        <v>Incluir_colegas_que_ficam_isolados</v>
      </c>
    </row>
    <row r="32" spans="1:9" x14ac:dyDescent="0.25">
      <c r="A32" t="s">
        <v>9</v>
      </c>
      <c r="B32" t="s">
        <v>95</v>
      </c>
      <c r="I32" t="str">
        <f t="shared" si="0"/>
        <v>Desenvolver_amizades_saudaveis</v>
      </c>
    </row>
    <row r="33" spans="1:9" x14ac:dyDescent="0.25">
      <c r="A33" t="s">
        <v>9</v>
      </c>
      <c r="B33" t="s">
        <v>97</v>
      </c>
      <c r="I33" t="str">
        <f t="shared" si="0"/>
        <v>Orar_por_meus_amigos_regularmente</v>
      </c>
    </row>
    <row r="34" spans="1:9" x14ac:dyDescent="0.25">
      <c r="A34" t="s">
        <v>11</v>
      </c>
      <c r="B34" t="s">
        <v>99</v>
      </c>
      <c r="I34" t="str">
        <f t="shared" si="0"/>
        <v>Participar_de_ações_sociais_ou_voluntariado</v>
      </c>
    </row>
    <row r="35" spans="1:9" x14ac:dyDescent="0.25">
      <c r="A35" t="s">
        <v>11</v>
      </c>
      <c r="B35" t="s">
        <v>101</v>
      </c>
      <c r="I35" t="str">
        <f t="shared" si="0"/>
        <v>Cuidar_do_ambiente_ao_meu_redor</v>
      </c>
    </row>
    <row r="36" spans="1:9" x14ac:dyDescent="0.25">
      <c r="A36" t="s">
        <v>11</v>
      </c>
      <c r="B36" t="s">
        <v>103</v>
      </c>
      <c r="I36" t="str">
        <f t="shared" si="0"/>
        <v>Ser_respeitoso_com_todos,_mesmo_os_diferentes</v>
      </c>
    </row>
    <row r="37" spans="1:9" x14ac:dyDescent="0.25">
      <c r="A37" t="s">
        <v>11</v>
      </c>
      <c r="B37" t="s">
        <v>105</v>
      </c>
      <c r="I37" t="str">
        <f t="shared" si="0"/>
        <v>Cumprir_regras_e_responsabilidades_publicas</v>
      </c>
    </row>
    <row r="38" spans="1:9" x14ac:dyDescent="0.25">
      <c r="A38" t="s">
        <v>11</v>
      </c>
      <c r="B38" t="s">
        <v>107</v>
      </c>
      <c r="I38" t="str">
        <f t="shared" si="0"/>
        <v>Tratar_bem_os_vizinhos</v>
      </c>
    </row>
    <row r="39" spans="1:9" x14ac:dyDescent="0.25">
      <c r="A39" t="s">
        <v>11</v>
      </c>
      <c r="B39" t="s">
        <v>109</v>
      </c>
      <c r="I39" t="str">
        <f t="shared" si="0"/>
        <v>Ajudar_idosos_ou_crianças_quando_possivel</v>
      </c>
    </row>
    <row r="40" spans="1:9" x14ac:dyDescent="0.25">
      <c r="A40" t="s">
        <v>11</v>
      </c>
      <c r="B40" t="s">
        <v>111</v>
      </c>
      <c r="I40" t="str">
        <f t="shared" si="0"/>
        <v>Usar_redes_sociais_com_responsabilidade</v>
      </c>
    </row>
    <row r="41" spans="1:9" x14ac:dyDescent="0.25">
      <c r="A41" t="s">
        <v>11</v>
      </c>
      <c r="B41" t="s">
        <v>113</v>
      </c>
      <c r="I41" t="str">
        <f t="shared" si="0"/>
        <v>Representar_bem_minha_fe_e_meus_valores</v>
      </c>
    </row>
    <row r="42" spans="1:9" x14ac:dyDescent="0.25">
      <c r="A42" t="s">
        <v>621</v>
      </c>
      <c r="B42" t="s">
        <v>115</v>
      </c>
      <c r="I42" t="str">
        <f t="shared" si="0"/>
        <v>Me_conhecer_melhor_e_valorizar_minhas_qualidades</v>
      </c>
    </row>
    <row r="43" spans="1:9" x14ac:dyDescent="0.25">
      <c r="A43" t="s">
        <v>621</v>
      </c>
      <c r="B43" t="s">
        <v>117</v>
      </c>
      <c r="I43" t="str">
        <f t="shared" si="0"/>
        <v>Cuidar_da_minha_saude_fisica</v>
      </c>
    </row>
    <row r="44" spans="1:9" x14ac:dyDescent="0.25">
      <c r="A44" t="s">
        <v>621</v>
      </c>
      <c r="B44" t="s">
        <v>119</v>
      </c>
      <c r="I44" t="str">
        <f t="shared" si="0"/>
        <v>Controlar_meu_tempo_no_celular_e_redes</v>
      </c>
    </row>
    <row r="45" spans="1:9" x14ac:dyDescent="0.25">
      <c r="A45" t="s">
        <v>621</v>
      </c>
      <c r="B45" t="s">
        <v>121</v>
      </c>
      <c r="I45" t="str">
        <f t="shared" si="0"/>
        <v>Aprender_a_lidar_com_minhas_emoções</v>
      </c>
    </row>
    <row r="46" spans="1:9" x14ac:dyDescent="0.25">
      <c r="A46" t="s">
        <v>621</v>
      </c>
      <c r="B46" t="s">
        <v>123</v>
      </c>
      <c r="I46" t="str">
        <f t="shared" si="0"/>
        <v>Criar_habitos_saudaveis_(sono,_alimentação)</v>
      </c>
    </row>
    <row r="47" spans="1:9" x14ac:dyDescent="0.25">
      <c r="A47" t="s">
        <v>621</v>
      </c>
      <c r="B47" t="s">
        <v>125</v>
      </c>
      <c r="I47" t="str">
        <f t="shared" si="0"/>
        <v>Buscar_crescimento_espiritual</v>
      </c>
    </row>
    <row r="48" spans="1:9" x14ac:dyDescent="0.25">
      <c r="A48" t="s">
        <v>621</v>
      </c>
      <c r="B48" t="s">
        <v>127</v>
      </c>
      <c r="I48" t="str">
        <f t="shared" si="0"/>
        <v>Evitar_comparações_e_inveja</v>
      </c>
    </row>
    <row r="49" spans="1:9" x14ac:dyDescent="0.25">
      <c r="A49" t="s">
        <v>621</v>
      </c>
      <c r="B49" t="s">
        <v>129</v>
      </c>
      <c r="I49" t="str">
        <f t="shared" si="0"/>
        <v>Desenvolver_um_plano_de_vida_com_metas_claras</v>
      </c>
    </row>
    <row r="50" spans="1:9" x14ac:dyDescent="0.25">
      <c r="I50" t="str">
        <f>IFERROR(VLOOKUP(TRIM(E50),Objetivos!$A$2:$C$200,2,FALSE)&amp;"_"&amp;RIGHT(E50,2),"")</f>
        <v/>
      </c>
    </row>
    <row r="51" spans="1:9" x14ac:dyDescent="0.25">
      <c r="I51" t="str">
        <f>IFERROR(VLOOKUP(TRIM(E51),Objetivos!$A$2:$C$200,2,FALSE)&amp;"_"&amp;RIGHT(E51,2),"")</f>
        <v/>
      </c>
    </row>
    <row r="52" spans="1:9" x14ac:dyDescent="0.25">
      <c r="I52" t="str">
        <f>IFERROR(VLOOKUP(TRIM(E52),Objetivos!$A$2:$C$200,2,FALSE)&amp;"_"&amp;RIGHT(E52,2),"")</f>
        <v/>
      </c>
    </row>
    <row r="53" spans="1:9" x14ac:dyDescent="0.25">
      <c r="I53" t="str">
        <f>IFERROR(VLOOKUP(TRIM(E53),Objetivos!$A$2:$C$200,2,FALSE)&amp;"_"&amp;RIGHT(E53,2),"")</f>
        <v/>
      </c>
    </row>
    <row r="54" spans="1:9" x14ac:dyDescent="0.25">
      <c r="I54" t="str">
        <f>IFERROR(VLOOKUP(TRIM(E54),Objetivos!$A$2:$C$200,2,FALSE)&amp;"_"&amp;RIGHT(E54,2),"")</f>
        <v/>
      </c>
    </row>
    <row r="55" spans="1:9" x14ac:dyDescent="0.25">
      <c r="I55" t="str">
        <f>IFERROR(VLOOKUP(TRIM(E55),Objetivos!$A$2:$C$200,2,FALSE)&amp;"_"&amp;RIGHT(E55,2),"")</f>
        <v/>
      </c>
    </row>
    <row r="56" spans="1:9" x14ac:dyDescent="0.25">
      <c r="I56" t="str">
        <f>IFERROR(VLOOKUP(TRIM(E56),Objetivos!$A$2:$C$200,2,FALSE)&amp;"_"&amp;RIGHT(E56,2),"")</f>
        <v/>
      </c>
    </row>
    <row r="57" spans="1:9" x14ac:dyDescent="0.25">
      <c r="I57" t="str">
        <f>IFERROR(VLOOKUP(TRIM(E57),Objetivos!$A$2:$C$200,2,FALSE)&amp;"_"&amp;RIGHT(E57,2),"")</f>
        <v/>
      </c>
    </row>
    <row r="58" spans="1:9" x14ac:dyDescent="0.25">
      <c r="I58" t="str">
        <f>IFERROR(VLOOKUP(TRIM(E58),Objetivos!$A$2:$C$200,2,FALSE)&amp;"_"&amp;RIGHT(E58,2),"")</f>
        <v/>
      </c>
    </row>
    <row r="59" spans="1:9" x14ac:dyDescent="0.25">
      <c r="I59" t="str">
        <f>IFERROR(VLOOKUP(TRIM(E59),Objetivos!$A$2:$C$200,2,FALSE)&amp;"_"&amp;RIGHT(E59,2),"")</f>
        <v/>
      </c>
    </row>
    <row r="60" spans="1:9" x14ac:dyDescent="0.25">
      <c r="I60" t="str">
        <f>IFERROR(VLOOKUP(TRIM(E60),Objetivos!$A$2:$C$200,2,FALSE)&amp;"_"&amp;RIGHT(E60,2),"")</f>
        <v/>
      </c>
    </row>
    <row r="61" spans="1:9" x14ac:dyDescent="0.25">
      <c r="I61" t="str">
        <f>IFERROR(VLOOKUP(TRIM(E61),Objetivos!$A$2:$C$200,2,FALSE)&amp;"_"&amp;RIGHT(E61,2),"")</f>
        <v/>
      </c>
    </row>
    <row r="62" spans="1:9" x14ac:dyDescent="0.25">
      <c r="I62" t="str">
        <f>IFERROR(VLOOKUP(TRIM(E62),Objetivos!$A$2:$C$200,2,FALSE)&amp;"_"&amp;RIGHT(E62,2),"")</f>
        <v/>
      </c>
    </row>
    <row r="63" spans="1:9" x14ac:dyDescent="0.25">
      <c r="I63" t="str">
        <f>IFERROR(VLOOKUP(TRIM(E63),Objetivos!$A$2:$C$200,2,FALSE)&amp;"_"&amp;RIGHT(E63,2),"")</f>
        <v/>
      </c>
    </row>
    <row r="64" spans="1:9" x14ac:dyDescent="0.25">
      <c r="I64" t="str">
        <f>IFERROR(VLOOKUP(TRIM(E64),Objetivos!$A$2:$C$200,2,FALSE)&amp;"_"&amp;RIGHT(E64,2),"")</f>
        <v/>
      </c>
    </row>
    <row r="65" spans="9:9" x14ac:dyDescent="0.25">
      <c r="I65" t="str">
        <f>IFERROR(VLOOKUP(TRIM(E65),Objetivos!$A$2:$C$200,2,FALSE)&amp;"_"&amp;RIGHT(E65,2),"")</f>
        <v/>
      </c>
    </row>
    <row r="66" spans="9:9" x14ac:dyDescent="0.25">
      <c r="I66" t="str">
        <f>IFERROR(VLOOKUP(TRIM(E66),Objetivos!$A$2:$C$200,2,FALSE)&amp;"_"&amp;RIGHT(E66,2),"")</f>
        <v/>
      </c>
    </row>
    <row r="67" spans="9:9" x14ac:dyDescent="0.25">
      <c r="I67" t="str">
        <f>IFERROR(VLOOKUP(TRIM(E67),Objetivos!$A$2:$C$200,2,FALSE)&amp;"_"&amp;RIGHT(E67,2),"")</f>
        <v/>
      </c>
    </row>
    <row r="68" spans="9:9" x14ac:dyDescent="0.25">
      <c r="I68" t="str">
        <f>IFERROR(VLOOKUP(TRIM(E68),Objetivos!$A$2:$C$200,2,FALSE)&amp;"_"&amp;RIGHT(E68,2),"")</f>
        <v/>
      </c>
    </row>
    <row r="69" spans="9:9" x14ac:dyDescent="0.25">
      <c r="I69" t="str">
        <f>IFERROR(VLOOKUP(TRIM(E69),Objetivos!$A$2:$C$200,2,FALSE)&amp;"_"&amp;RIGHT(E69,2),"")</f>
        <v/>
      </c>
    </row>
    <row r="70" spans="9:9" x14ac:dyDescent="0.25">
      <c r="I70" t="str">
        <f>IFERROR(VLOOKUP(TRIM(E70),Objetivos!$A$2:$C$200,2,FALSE)&amp;"_"&amp;RIGHT(E70,2),"")</f>
        <v/>
      </c>
    </row>
    <row r="71" spans="9:9" x14ac:dyDescent="0.25">
      <c r="I71" t="str">
        <f>IFERROR(VLOOKUP(TRIM(E71),Objetivos!$A$2:$C$200,2,FALSE)&amp;"_"&amp;RIGHT(E71,2),"")</f>
        <v/>
      </c>
    </row>
    <row r="72" spans="9:9" x14ac:dyDescent="0.25">
      <c r="I72" t="str">
        <f>IFERROR(VLOOKUP(TRIM(E72),Objetivos!$A$2:$C$200,2,FALSE)&amp;"_"&amp;RIGHT(E72,2),"")</f>
        <v/>
      </c>
    </row>
    <row r="73" spans="9:9" x14ac:dyDescent="0.25">
      <c r="I73" t="str">
        <f>IFERROR(VLOOKUP(TRIM(E73),Objetivos!$A$2:$C$200,2,FALSE)&amp;"_"&amp;RIGHT(E73,2),"")</f>
        <v/>
      </c>
    </row>
    <row r="74" spans="9:9" x14ac:dyDescent="0.25">
      <c r="I74" t="str">
        <f>IFERROR(VLOOKUP(TRIM(E74),Objetivos!$A$2:$C$200,2,FALSE)&amp;"_"&amp;RIGHT(E74,2),"")</f>
        <v/>
      </c>
    </row>
    <row r="75" spans="9:9" x14ac:dyDescent="0.25">
      <c r="I75" t="str">
        <f>IFERROR(VLOOKUP(TRIM(E75),Objetivos!$A$2:$C$200,2,FALSE)&amp;"_"&amp;RIGHT(E75,2),"")</f>
        <v/>
      </c>
    </row>
    <row r="76" spans="9:9" x14ac:dyDescent="0.25">
      <c r="I76" t="str">
        <f>IFERROR(VLOOKUP(TRIM(E76),Objetivos!$A$2:$C$200,2,FALSE)&amp;"_"&amp;RIGHT(E76,2),"")</f>
        <v/>
      </c>
    </row>
    <row r="77" spans="9:9" x14ac:dyDescent="0.25">
      <c r="I77" t="str">
        <f>IFERROR(VLOOKUP(TRIM(E77),Objetivos!$A$2:$C$200,2,FALSE)&amp;"_"&amp;RIGHT(E77,2),"")</f>
        <v/>
      </c>
    </row>
    <row r="78" spans="9:9" x14ac:dyDescent="0.25">
      <c r="I78" t="str">
        <f>IFERROR(VLOOKUP(TRIM(E78),Objetivos!$A$2:$C$200,2,FALSE)&amp;"_"&amp;RIGHT(E78,2),"")</f>
        <v/>
      </c>
    </row>
    <row r="79" spans="9:9" x14ac:dyDescent="0.25">
      <c r="I79" t="str">
        <f>IFERROR(VLOOKUP(TRIM(E79),Objetivos!$A$2:$C$200,2,FALSE)&amp;"_"&amp;RIGHT(E79,2),"")</f>
        <v/>
      </c>
    </row>
    <row r="80" spans="9:9" x14ac:dyDescent="0.25">
      <c r="I80" t="str">
        <f>IFERROR(VLOOKUP(TRIM(E80),Objetivos!$A$2:$C$200,2,FALSE)&amp;"_"&amp;RIGHT(E80,2),"")</f>
        <v/>
      </c>
    </row>
    <row r="81" spans="9:9" x14ac:dyDescent="0.25">
      <c r="I81" t="str">
        <f>IFERROR(VLOOKUP(TRIM(E81),Objetivos!$A$2:$C$200,2,FALSE)&amp;"_"&amp;RIGHT(E81,2),"")</f>
        <v/>
      </c>
    </row>
    <row r="82" spans="9:9" x14ac:dyDescent="0.25">
      <c r="I82" t="str">
        <f>IFERROR(VLOOKUP(TRIM(E82),Objetivos!$A$2:$C$200,2,FALSE)&amp;"_"&amp;RIGHT(E82,2),"")</f>
        <v/>
      </c>
    </row>
    <row r="83" spans="9:9" x14ac:dyDescent="0.25">
      <c r="I83" t="str">
        <f>IFERROR(VLOOKUP(TRIM(E83),Objetivos!$A$2:$C$200,2,FALSE)&amp;"_"&amp;RIGHT(E83,2),"")</f>
        <v/>
      </c>
    </row>
    <row r="84" spans="9:9" x14ac:dyDescent="0.25">
      <c r="I84" t="str">
        <f>IFERROR(VLOOKUP(TRIM(E84),Objetivos!$A$2:$C$200,2,FALSE)&amp;"_"&amp;RIGHT(E84,2),"")</f>
        <v/>
      </c>
    </row>
    <row r="85" spans="9:9" x14ac:dyDescent="0.25">
      <c r="I85" t="str">
        <f>IFERROR(VLOOKUP(TRIM(E85),Objetivos!$A$2:$C$200,2,FALSE)&amp;"_"&amp;RIGHT(E85,2),"")</f>
        <v/>
      </c>
    </row>
    <row r="86" spans="9:9" x14ac:dyDescent="0.25">
      <c r="I86" t="str">
        <f>IFERROR(VLOOKUP(TRIM(E86),Objetivos!$A$2:$C$200,2,FALSE)&amp;"_"&amp;RIGHT(E86,2),"")</f>
        <v/>
      </c>
    </row>
    <row r="87" spans="9:9" x14ac:dyDescent="0.25">
      <c r="I87" t="str">
        <f>IFERROR(VLOOKUP(TRIM(E87),Objetivos!$A$2:$C$200,2,FALSE)&amp;"_"&amp;RIGHT(E87,2),"")</f>
        <v/>
      </c>
    </row>
    <row r="88" spans="9:9" x14ac:dyDescent="0.25">
      <c r="I88" t="str">
        <f>IFERROR(VLOOKUP(TRIM(E88),Objetivos!$A$2:$C$200,2,FALSE)&amp;"_"&amp;RIGHT(E88,2),"")</f>
        <v/>
      </c>
    </row>
    <row r="89" spans="9:9" x14ac:dyDescent="0.25">
      <c r="I89" t="str">
        <f>IFERROR(VLOOKUP(TRIM(E89),Objetivos!$A$2:$C$200,2,FALSE)&amp;"_"&amp;RIGHT(E89,2),"")</f>
        <v/>
      </c>
    </row>
    <row r="90" spans="9:9" x14ac:dyDescent="0.25">
      <c r="I90" t="str">
        <f>IFERROR(VLOOKUP(TRIM(E90),Objetivos!$A$2:$C$200,2,FALSE)&amp;"_"&amp;RIGHT(E90,2),"")</f>
        <v/>
      </c>
    </row>
    <row r="91" spans="9:9" x14ac:dyDescent="0.25">
      <c r="I91" t="str">
        <f>IFERROR(VLOOKUP(TRIM(E91),Objetivos!$A$2:$C$200,2,FALSE)&amp;"_"&amp;RIGHT(E91,2),"")</f>
        <v/>
      </c>
    </row>
    <row r="92" spans="9:9" x14ac:dyDescent="0.25">
      <c r="I92" t="str">
        <f>IFERROR(VLOOKUP(TRIM(E92),Objetivos!$A$2:$C$200,2,FALSE)&amp;"_"&amp;RIGHT(E92,2),"")</f>
        <v/>
      </c>
    </row>
    <row r="93" spans="9:9" x14ac:dyDescent="0.25">
      <c r="I93" t="str">
        <f>IFERROR(VLOOKUP(TRIM(E93),Objetivos!$A$2:$C$200,2,FALSE)&amp;"_"&amp;RIGHT(E93,2),"")</f>
        <v/>
      </c>
    </row>
    <row r="94" spans="9:9" x14ac:dyDescent="0.25">
      <c r="I94" t="str">
        <f>IFERROR(VLOOKUP(TRIM(E94),Objetivos!$A$2:$C$200,2,FALSE)&amp;"_"&amp;RIGHT(E94,2),"")</f>
        <v/>
      </c>
    </row>
    <row r="95" spans="9:9" x14ac:dyDescent="0.25">
      <c r="I95" t="str">
        <f>IFERROR(VLOOKUP(TRIM(E95),Objetivos!$A$2:$C$200,2,FALSE)&amp;"_"&amp;RIGHT(E95,2),"")</f>
        <v/>
      </c>
    </row>
    <row r="96" spans="9:9" x14ac:dyDescent="0.25">
      <c r="I96" t="str">
        <f>IFERROR(VLOOKUP(TRIM(E96),Objetivos!$A$2:$C$200,2,FALSE)&amp;"_"&amp;RIGHT(E96,2),"")</f>
        <v/>
      </c>
    </row>
    <row r="97" spans="9:9" x14ac:dyDescent="0.25">
      <c r="I97" t="str">
        <f>IFERROR(VLOOKUP(TRIM(E97),Objetivos!$A$2:$C$200,2,FALSE)&amp;"_"&amp;RIGHT(E97,2),"")</f>
        <v/>
      </c>
    </row>
    <row r="98" spans="9:9" x14ac:dyDescent="0.25">
      <c r="I98" t="str">
        <f>IFERROR(VLOOKUP(TRIM(E98),Objetivos!$A$2:$C$200,2,FALSE)&amp;"_"&amp;RIGHT(E98,2),"")</f>
        <v/>
      </c>
    </row>
    <row r="99" spans="9:9" x14ac:dyDescent="0.25">
      <c r="I99" t="str">
        <f>IFERROR(VLOOKUP(TRIM(E99),Objetivos!$A$2:$C$200,2,FALSE)&amp;"_"&amp;RIGHT(E99,2),"")</f>
        <v/>
      </c>
    </row>
    <row r="100" spans="9:9" x14ac:dyDescent="0.25">
      <c r="I100" t="str">
        <f>IFERROR(VLOOKUP(TRIM(E100),Objetivos!$A$2:$C$200,2,FALSE)&amp;"_"&amp;RIGHT(E100,2),"")</f>
        <v/>
      </c>
    </row>
    <row r="101" spans="9:9" x14ac:dyDescent="0.25">
      <c r="I101" t="str">
        <f>IFERROR(VLOOKUP(TRIM(E101),Objetivos!$A$2:$C$200,2,FALSE)&amp;"_"&amp;RIGHT(E101,2),"")</f>
        <v/>
      </c>
    </row>
    <row r="102" spans="9:9" x14ac:dyDescent="0.25">
      <c r="I102" t="str">
        <f>IFERROR(VLOOKUP(TRIM(E102),Objetivos!$A$2:$C$200,2,FALSE)&amp;"_"&amp;RIGHT(E102,2),"")</f>
        <v/>
      </c>
    </row>
    <row r="103" spans="9:9" x14ac:dyDescent="0.25">
      <c r="I103" t="str">
        <f>IFERROR(VLOOKUP(TRIM(E103),Objetivos!$A$2:$C$200,2,FALSE)&amp;"_"&amp;RIGHT(E103,2),"")</f>
        <v/>
      </c>
    </row>
    <row r="104" spans="9:9" x14ac:dyDescent="0.25">
      <c r="I104" t="str">
        <f>IFERROR(VLOOKUP(TRIM(E104),Objetivos!$A$2:$C$200,2,FALSE)&amp;"_"&amp;RIGHT(E104,2),"")</f>
        <v/>
      </c>
    </row>
    <row r="105" spans="9:9" x14ac:dyDescent="0.25">
      <c r="I105" t="str">
        <f>IFERROR(VLOOKUP(TRIM(E105),Objetivos!$A$2:$C$200,2,FALSE)&amp;"_"&amp;RIGHT(E105,2),"")</f>
        <v/>
      </c>
    </row>
    <row r="106" spans="9:9" x14ac:dyDescent="0.25">
      <c r="I106" t="str">
        <f>IFERROR(VLOOKUP(TRIM(E106),Objetivos!$A$2:$C$200,2,FALSE)&amp;"_"&amp;RIGHT(E106,2),"")</f>
        <v/>
      </c>
    </row>
    <row r="107" spans="9:9" x14ac:dyDescent="0.25">
      <c r="I107" t="str">
        <f>IFERROR(VLOOKUP(TRIM(E107),Objetivos!$A$2:$C$200,2,FALSE)&amp;"_"&amp;RIGHT(E107,2),"")</f>
        <v/>
      </c>
    </row>
    <row r="108" spans="9:9" x14ac:dyDescent="0.25">
      <c r="I108" t="str">
        <f>IFERROR(VLOOKUP(TRIM(E108),Objetivos!$A$2:$C$200,2,FALSE)&amp;"_"&amp;RIGHT(E108,2),"")</f>
        <v/>
      </c>
    </row>
    <row r="109" spans="9:9" x14ac:dyDescent="0.25">
      <c r="I109" t="str">
        <f>IFERROR(VLOOKUP(TRIM(E109),Objetivos!$A$2:$C$200,2,FALSE)&amp;"_"&amp;RIGHT(E109,2),"")</f>
        <v/>
      </c>
    </row>
    <row r="110" spans="9:9" x14ac:dyDescent="0.25">
      <c r="I110" t="str">
        <f>IFERROR(VLOOKUP(TRIM(E110),Objetivos!$A$2:$C$200,2,FALSE)&amp;"_"&amp;RIGHT(E110,2),"")</f>
        <v/>
      </c>
    </row>
    <row r="111" spans="9:9" x14ac:dyDescent="0.25">
      <c r="I111" t="str">
        <f>IFERROR(VLOOKUP(TRIM(E111),Objetivos!$A$2:$C$200,2,FALSE)&amp;"_"&amp;RIGHT(E111,2),"")</f>
        <v/>
      </c>
    </row>
    <row r="112" spans="9:9" x14ac:dyDescent="0.25">
      <c r="I112" t="str">
        <f>IFERROR(VLOOKUP(TRIM(E112),Objetivos!$A$2:$C$200,2,FALSE)&amp;"_"&amp;RIGHT(E112,2),"")</f>
        <v/>
      </c>
    </row>
    <row r="113" spans="9:9" x14ac:dyDescent="0.25">
      <c r="I113" t="str">
        <f>IFERROR(VLOOKUP(TRIM(E113),Objetivos!$A$2:$C$200,2,FALSE)&amp;"_"&amp;RIGHT(E113,2),"")</f>
        <v/>
      </c>
    </row>
    <row r="114" spans="9:9" x14ac:dyDescent="0.25">
      <c r="I114" t="str">
        <f>IFERROR(VLOOKUP(TRIM(E114),Objetivos!$A$2:$C$200,2,FALSE)&amp;"_"&amp;RIGHT(E114,2),"")</f>
        <v/>
      </c>
    </row>
    <row r="115" spans="9:9" x14ac:dyDescent="0.25">
      <c r="I115" t="str">
        <f>IFERROR(VLOOKUP(TRIM(E115),Objetivos!$A$2:$C$200,2,FALSE)&amp;"_"&amp;RIGHT(E115,2),"")</f>
        <v/>
      </c>
    </row>
    <row r="116" spans="9:9" x14ac:dyDescent="0.25">
      <c r="I116" t="str">
        <f>IFERROR(VLOOKUP(TRIM(E116),Objetivos!$A$2:$C$200,2,FALSE)&amp;"_"&amp;RIGHT(E116,2),"")</f>
        <v/>
      </c>
    </row>
    <row r="117" spans="9:9" x14ac:dyDescent="0.25">
      <c r="I117" t="str">
        <f>IFERROR(VLOOKUP(TRIM(E117),Objetivos!$A$2:$C$200,2,FALSE)&amp;"_"&amp;RIGHT(E117,2),"")</f>
        <v/>
      </c>
    </row>
    <row r="118" spans="9:9" x14ac:dyDescent="0.25">
      <c r="I118" t="str">
        <f>IFERROR(VLOOKUP(TRIM(E118),Objetivos!$A$2:$C$200,2,FALSE)&amp;"_"&amp;RIGHT(E118,2),"")</f>
        <v/>
      </c>
    </row>
    <row r="119" spans="9:9" x14ac:dyDescent="0.25">
      <c r="I119" t="str">
        <f>IFERROR(VLOOKUP(TRIM(E119),Objetivos!$A$2:$C$200,2,FALSE)&amp;"_"&amp;RIGHT(E119,2),"")</f>
        <v/>
      </c>
    </row>
    <row r="120" spans="9:9" x14ac:dyDescent="0.25">
      <c r="I120" t="str">
        <f>IFERROR(VLOOKUP(TRIM(E120),Objetivos!$A$2:$C$200,2,FALSE)&amp;"_"&amp;RIGHT(E120,2),"")</f>
        <v/>
      </c>
    </row>
    <row r="121" spans="9:9" x14ac:dyDescent="0.25">
      <c r="I121" t="str">
        <f>IFERROR(VLOOKUP(TRIM(E121),Objetivos!$A$2:$C$200,2,FALSE)&amp;"_"&amp;RIGHT(E121,2),"")</f>
        <v/>
      </c>
    </row>
    <row r="122" spans="9:9" x14ac:dyDescent="0.25">
      <c r="I122" t="str">
        <f>IFERROR(VLOOKUP(TRIM(E122),Objetivos!$A$2:$C$200,2,FALSE)&amp;"_"&amp;RIGHT(E122,2),"")</f>
        <v/>
      </c>
    </row>
    <row r="123" spans="9:9" x14ac:dyDescent="0.25">
      <c r="I123" t="str">
        <f>IFERROR(VLOOKUP(TRIM(E123),Objetivos!$A$2:$C$200,2,FALSE)&amp;"_"&amp;RIGHT(E123,2),"")</f>
        <v/>
      </c>
    </row>
    <row r="124" spans="9:9" x14ac:dyDescent="0.25">
      <c r="I124" t="str">
        <f>IFERROR(VLOOKUP(TRIM(E124),Objetivos!$A$2:$C$200,2,FALSE)&amp;"_"&amp;RIGHT(E124,2),"")</f>
        <v/>
      </c>
    </row>
    <row r="125" spans="9:9" x14ac:dyDescent="0.25">
      <c r="I125" t="str">
        <f>IFERROR(VLOOKUP(TRIM(E125),Objetivos!$A$2:$C$200,2,FALSE)&amp;"_"&amp;RIGHT(E125,2),"")</f>
        <v/>
      </c>
    </row>
    <row r="126" spans="9:9" x14ac:dyDescent="0.25">
      <c r="I126" t="str">
        <f>IFERROR(VLOOKUP(TRIM(E126),Objetivos!$A$2:$C$200,2,FALSE)&amp;"_"&amp;RIGHT(E126,2),"")</f>
        <v/>
      </c>
    </row>
    <row r="127" spans="9:9" x14ac:dyDescent="0.25">
      <c r="I127" t="str">
        <f>IFERROR(VLOOKUP(TRIM(E127),Objetivos!$A$2:$C$200,2,FALSE)&amp;"_"&amp;RIGHT(E127,2),"")</f>
        <v/>
      </c>
    </row>
    <row r="128" spans="9:9" x14ac:dyDescent="0.25">
      <c r="I128" t="str">
        <f>IFERROR(VLOOKUP(TRIM(E128),Objetivos!$A$2:$C$200,2,FALSE)&amp;"_"&amp;RIGHT(E128,2),"")</f>
        <v/>
      </c>
    </row>
    <row r="129" spans="9:9" x14ac:dyDescent="0.25">
      <c r="I129" t="str">
        <f>IFERROR(VLOOKUP(TRIM(E129),Objetivos!$A$2:$C$200,2,FALSE)&amp;"_"&amp;RIGHT(E129,2),"")</f>
        <v/>
      </c>
    </row>
    <row r="130" spans="9:9" x14ac:dyDescent="0.25">
      <c r="I130" t="str">
        <f>IFERROR(VLOOKUP(TRIM(E130),Objetivos!$A$2:$C$200,2,FALSE)&amp;"_"&amp;RIGHT(E130,2),"")</f>
        <v/>
      </c>
    </row>
    <row r="131" spans="9:9" x14ac:dyDescent="0.25">
      <c r="I131" t="str">
        <f>IFERROR(VLOOKUP(TRIM(E131),Objetivos!$A$2:$C$200,2,FALSE)&amp;"_"&amp;RIGHT(E131,2),"")</f>
        <v/>
      </c>
    </row>
    <row r="132" spans="9:9" x14ac:dyDescent="0.25">
      <c r="I132" t="str">
        <f>IFERROR(VLOOKUP(TRIM(E132),Objetivos!$A$2:$C$200,2,FALSE)&amp;"_"&amp;RIGHT(E132,2),"")</f>
        <v/>
      </c>
    </row>
    <row r="133" spans="9:9" x14ac:dyDescent="0.25">
      <c r="I133" t="str">
        <f>IFERROR(VLOOKUP(TRIM(E133),Objetivos!$A$2:$C$200,2,FALSE)&amp;"_"&amp;RIGHT(E133,2),"")</f>
        <v/>
      </c>
    </row>
    <row r="134" spans="9:9" x14ac:dyDescent="0.25">
      <c r="I134" t="str">
        <f>IFERROR(VLOOKUP(TRIM(E134),Objetivos!$A$2:$C$200,2,FALSE)&amp;"_"&amp;RIGHT(E134,2),"")</f>
        <v/>
      </c>
    </row>
    <row r="135" spans="9:9" x14ac:dyDescent="0.25">
      <c r="I135" t="str">
        <f>IFERROR(VLOOKUP(TRIM(E135),Objetivos!$A$2:$C$200,2,FALSE)&amp;"_"&amp;RIGHT(E135,2),"")</f>
        <v/>
      </c>
    </row>
    <row r="136" spans="9:9" x14ac:dyDescent="0.25">
      <c r="I136" t="str">
        <f>IFERROR(VLOOKUP(TRIM(E136),Objetivos!$A$2:$C$200,2,FALSE)&amp;"_"&amp;RIGHT(E136,2),"")</f>
        <v/>
      </c>
    </row>
    <row r="137" spans="9:9" x14ac:dyDescent="0.25">
      <c r="I137" t="str">
        <f>IFERROR(VLOOKUP(TRIM(E137),Objetivos!$A$2:$C$200,2,FALSE)&amp;"_"&amp;RIGHT(E137,2),"")</f>
        <v/>
      </c>
    </row>
    <row r="138" spans="9:9" x14ac:dyDescent="0.25">
      <c r="I138" t="str">
        <f>IFERROR(VLOOKUP(TRIM(E138),Objetivos!$A$2:$C$200,2,FALSE)&amp;"_"&amp;RIGHT(E138,2),"")</f>
        <v/>
      </c>
    </row>
    <row r="139" spans="9:9" x14ac:dyDescent="0.25">
      <c r="I139" t="str">
        <f>IFERROR(VLOOKUP(TRIM(E139),Objetivos!$A$2:$C$200,2,FALSE)&amp;"_"&amp;RIGHT(E139,2),"")</f>
        <v/>
      </c>
    </row>
    <row r="140" spans="9:9" x14ac:dyDescent="0.25">
      <c r="I140" t="str">
        <f>IFERROR(VLOOKUP(TRIM(E140),Objetivos!$A$2:$C$200,2,FALSE)&amp;"_"&amp;RIGHT(E140,2),"")</f>
        <v/>
      </c>
    </row>
    <row r="141" spans="9:9" x14ac:dyDescent="0.25">
      <c r="I141" t="str">
        <f>IFERROR(VLOOKUP(TRIM(E141),Objetivos!$A$2:$C$200,2,FALSE)&amp;"_"&amp;RIGHT(E141,2),"")</f>
        <v/>
      </c>
    </row>
    <row r="142" spans="9:9" x14ac:dyDescent="0.25">
      <c r="I142" t="str">
        <f>IFERROR(VLOOKUP(TRIM(E142),Objetivos!$A$2:$C$200,2,FALSE)&amp;"_"&amp;RIGHT(E142,2),"")</f>
        <v/>
      </c>
    </row>
    <row r="143" spans="9:9" x14ac:dyDescent="0.25">
      <c r="I143" t="str">
        <f>IFERROR(VLOOKUP(TRIM(E143),Objetivos!$A$2:$C$200,2,FALSE)&amp;"_"&amp;RIGHT(E143,2),"")</f>
        <v/>
      </c>
    </row>
    <row r="144" spans="9:9" x14ac:dyDescent="0.25">
      <c r="I144" t="str">
        <f>IFERROR(VLOOKUP(TRIM(E144),Objetivos!$A$2:$C$200,2,FALSE)&amp;"_"&amp;RIGHT(E144,2),"")</f>
        <v/>
      </c>
    </row>
    <row r="145" spans="9:9" x14ac:dyDescent="0.25">
      <c r="I145" t="str">
        <f>IFERROR(VLOOKUP(TRIM(E145),Objetivos!$A$2:$C$200,2,FALSE)&amp;"_"&amp;RIGHT(E145,2),"")</f>
        <v/>
      </c>
    </row>
    <row r="146" spans="9:9" x14ac:dyDescent="0.25">
      <c r="I146" t="str">
        <f>IFERROR(VLOOKUP(TRIM(E146),Objetivos!$A$2:$C$200,2,FALSE)&amp;"_"&amp;RIGHT(E146,2),"")</f>
        <v/>
      </c>
    </row>
    <row r="147" spans="9:9" x14ac:dyDescent="0.25">
      <c r="I147" t="str">
        <f>IFERROR(VLOOKUP(TRIM(E147),Objetivos!$A$2:$C$200,2,FALSE)&amp;"_"&amp;RIGHT(E147,2),"")</f>
        <v/>
      </c>
    </row>
    <row r="148" spans="9:9" x14ac:dyDescent="0.25">
      <c r="I148" t="str">
        <f>IFERROR(VLOOKUP(TRIM(E148),Objetivos!$A$2:$C$200,2,FALSE)&amp;"_"&amp;RIGHT(E148,2),"")</f>
        <v/>
      </c>
    </row>
    <row r="149" spans="9:9" x14ac:dyDescent="0.25">
      <c r="I149" t="str">
        <f>IFERROR(VLOOKUP(TRIM(E149),Objetivos!$A$2:$C$200,2,FALSE)&amp;"_"&amp;RIGHT(E149,2),"")</f>
        <v/>
      </c>
    </row>
    <row r="150" spans="9:9" x14ac:dyDescent="0.25">
      <c r="I150" t="str">
        <f>IFERROR(VLOOKUP(TRIM(E150),Objetivos!$A$2:$C$200,2,FALSE)&amp;"_"&amp;RIGHT(E150,2),"")</f>
        <v/>
      </c>
    </row>
    <row r="151" spans="9:9" x14ac:dyDescent="0.25">
      <c r="I151" t="str">
        <f>IFERROR(VLOOKUP(TRIM(E151),Objetivos!$A$2:$C$200,2,FALSE)&amp;"_"&amp;RIGHT(E151,2),"")</f>
        <v/>
      </c>
    </row>
    <row r="152" spans="9:9" x14ac:dyDescent="0.25">
      <c r="I152" t="str">
        <f>IFERROR(VLOOKUP(TRIM(E152),Objetivos!$A$2:$C$200,2,FALSE)&amp;"_"&amp;RIGHT(E152,2),"")</f>
        <v/>
      </c>
    </row>
    <row r="153" spans="9:9" x14ac:dyDescent="0.25">
      <c r="I153" t="str">
        <f>IFERROR(VLOOKUP(TRIM(E153),Objetivos!$A$2:$C$200,2,FALSE)&amp;"_"&amp;RIGHT(E153,2),"")</f>
        <v/>
      </c>
    </row>
    <row r="154" spans="9:9" x14ac:dyDescent="0.25">
      <c r="I154" t="str">
        <f>IFERROR(VLOOKUP(TRIM(E154),Objetivos!$A$2:$C$200,2,FALSE)&amp;"_"&amp;RIGHT(E154,2),"")</f>
        <v/>
      </c>
    </row>
    <row r="155" spans="9:9" x14ac:dyDescent="0.25">
      <c r="I155" t="str">
        <f>IFERROR(VLOOKUP(TRIM(E155),Objetivos!$A$2:$C$200,2,FALSE)&amp;"_"&amp;RIGHT(E155,2),"")</f>
        <v/>
      </c>
    </row>
    <row r="156" spans="9:9" x14ac:dyDescent="0.25">
      <c r="I156" t="str">
        <f>IFERROR(VLOOKUP(TRIM(E156),Objetivos!$A$2:$C$200,2,FALSE)&amp;"_"&amp;RIGHT(E156,2),"")</f>
        <v/>
      </c>
    </row>
    <row r="157" spans="9:9" x14ac:dyDescent="0.25">
      <c r="I157" t="str">
        <f>IFERROR(VLOOKUP(TRIM(E157),Objetivos!$A$2:$C$200,2,FALSE)&amp;"_"&amp;RIGHT(E157,2),"")</f>
        <v/>
      </c>
    </row>
    <row r="158" spans="9:9" x14ac:dyDescent="0.25">
      <c r="I158" t="str">
        <f>IFERROR(VLOOKUP(TRIM(E158),Objetivos!$A$2:$C$200,2,FALSE)&amp;"_"&amp;RIGHT(E158,2),"")</f>
        <v/>
      </c>
    </row>
    <row r="159" spans="9:9" x14ac:dyDescent="0.25">
      <c r="I159" t="str">
        <f>IFERROR(VLOOKUP(TRIM(E159),Objetivos!$A$2:$C$200,2,FALSE)&amp;"_"&amp;RIGHT(E159,2),"")</f>
        <v/>
      </c>
    </row>
    <row r="160" spans="9:9" x14ac:dyDescent="0.25">
      <c r="I160" t="str">
        <f>IFERROR(VLOOKUP(TRIM(E160),Objetivos!$A$2:$C$200,2,FALSE)&amp;"_"&amp;RIGHT(E160,2),"")</f>
        <v/>
      </c>
    </row>
    <row r="161" spans="9:9" x14ac:dyDescent="0.25">
      <c r="I161" t="str">
        <f>IFERROR(VLOOKUP(TRIM(E161),Objetivos!$A$2:$C$200,2,FALSE)&amp;"_"&amp;RIGHT(E161,2),"")</f>
        <v/>
      </c>
    </row>
    <row r="162" spans="9:9" x14ac:dyDescent="0.25">
      <c r="I162" t="str">
        <f>IFERROR(VLOOKUP(TRIM(E162),Objetivos!$A$2:$C$200,2,FALSE)&amp;"_"&amp;RIGHT(E162,2),"")</f>
        <v/>
      </c>
    </row>
    <row r="163" spans="9:9" x14ac:dyDescent="0.25">
      <c r="I163" t="str">
        <f>IFERROR(VLOOKUP(TRIM(E163),Objetivos!$A$2:$C$200,2,FALSE)&amp;"_"&amp;RIGHT(E163,2),"")</f>
        <v/>
      </c>
    </row>
    <row r="164" spans="9:9" x14ac:dyDescent="0.25">
      <c r="I164" t="str">
        <f>IFERROR(VLOOKUP(TRIM(E164),Objetivos!$A$2:$C$200,2,FALSE)&amp;"_"&amp;RIGHT(E164,2),"")</f>
        <v/>
      </c>
    </row>
    <row r="165" spans="9:9" x14ac:dyDescent="0.25">
      <c r="I165" t="str">
        <f>IFERROR(VLOOKUP(TRIM(E165),Objetivos!$A$2:$C$200,2,FALSE)&amp;"_"&amp;RIGHT(E165,2),"")</f>
        <v/>
      </c>
    </row>
    <row r="166" spans="9:9" x14ac:dyDescent="0.25">
      <c r="I166" t="str">
        <f>IFERROR(VLOOKUP(TRIM(E166),Objetivos!$A$2:$C$200,2,FALSE)&amp;"_"&amp;RIGHT(E166,2),"")</f>
        <v/>
      </c>
    </row>
    <row r="167" spans="9:9" x14ac:dyDescent="0.25">
      <c r="I167" t="str">
        <f>IFERROR(VLOOKUP(TRIM(E167),Objetivos!$A$2:$C$200,2,FALSE)&amp;"_"&amp;RIGHT(E167,2),"")</f>
        <v/>
      </c>
    </row>
    <row r="168" spans="9:9" x14ac:dyDescent="0.25">
      <c r="I168" t="str">
        <f>IFERROR(VLOOKUP(TRIM(E168),Objetivos!$A$2:$C$200,2,FALSE)&amp;"_"&amp;RIGHT(E168,2),"")</f>
        <v/>
      </c>
    </row>
    <row r="169" spans="9:9" x14ac:dyDescent="0.25">
      <c r="I169" t="str">
        <f>IFERROR(VLOOKUP(TRIM(E169),Objetivos!$A$2:$C$200,2,FALSE)&amp;"_"&amp;RIGHT(E169,2),"")</f>
        <v/>
      </c>
    </row>
    <row r="170" spans="9:9" x14ac:dyDescent="0.25">
      <c r="I170" t="str">
        <f>IFERROR(VLOOKUP(TRIM(E170),Objetivos!$A$2:$C$200,2,FALSE)&amp;"_"&amp;RIGHT(E170,2),"")</f>
        <v/>
      </c>
    </row>
    <row r="171" spans="9:9" x14ac:dyDescent="0.25">
      <c r="I171" t="str">
        <f>IFERROR(VLOOKUP(TRIM(E171),Objetivos!$A$2:$C$200,2,FALSE)&amp;"_"&amp;RIGHT(E171,2),"")</f>
        <v/>
      </c>
    </row>
    <row r="172" spans="9:9" x14ac:dyDescent="0.25">
      <c r="I172" t="str">
        <f>IFERROR(VLOOKUP(TRIM(E172),Objetivos!$A$2:$C$200,2,FALSE)&amp;"_"&amp;RIGHT(E172,2),"")</f>
        <v/>
      </c>
    </row>
    <row r="173" spans="9:9" x14ac:dyDescent="0.25">
      <c r="I173" t="str">
        <f>IFERROR(VLOOKUP(TRIM(E173),Objetivos!$A$2:$C$200,2,FALSE)&amp;"_"&amp;RIGHT(E173,2),"")</f>
        <v/>
      </c>
    </row>
    <row r="174" spans="9:9" x14ac:dyDescent="0.25">
      <c r="I174" t="str">
        <f>IFERROR(VLOOKUP(TRIM(E174),Objetivos!$A$2:$C$200,2,FALSE)&amp;"_"&amp;RIGHT(E174,2),"")</f>
        <v/>
      </c>
    </row>
    <row r="175" spans="9:9" x14ac:dyDescent="0.25">
      <c r="I175" t="str">
        <f>IFERROR(VLOOKUP(TRIM(E175),Objetivos!$A$2:$C$200,2,FALSE)&amp;"_"&amp;RIGHT(E175,2),"")</f>
        <v/>
      </c>
    </row>
    <row r="176" spans="9:9" x14ac:dyDescent="0.25">
      <c r="I176" t="str">
        <f>IFERROR(VLOOKUP(TRIM(E176),Objetivos!$A$2:$C$200,2,FALSE)&amp;"_"&amp;RIGHT(E176,2),"")</f>
        <v/>
      </c>
    </row>
    <row r="177" spans="9:9" x14ac:dyDescent="0.25">
      <c r="I177" t="str">
        <f>IFERROR(VLOOKUP(TRIM(E177),Objetivos!$A$2:$C$200,2,FALSE)&amp;"_"&amp;RIGHT(E177,2),"")</f>
        <v/>
      </c>
    </row>
    <row r="178" spans="9:9" x14ac:dyDescent="0.25">
      <c r="I178" t="str">
        <f>IFERROR(VLOOKUP(TRIM(E178),Objetivos!$A$2:$C$200,2,FALSE)&amp;"_"&amp;RIGHT(E178,2),"")</f>
        <v/>
      </c>
    </row>
    <row r="179" spans="9:9" x14ac:dyDescent="0.25">
      <c r="I179" t="str">
        <f>IFERROR(VLOOKUP(TRIM(E179),Objetivos!$A$2:$C$200,2,FALSE)&amp;"_"&amp;RIGHT(E179,2),"")</f>
        <v/>
      </c>
    </row>
    <row r="180" spans="9:9" x14ac:dyDescent="0.25">
      <c r="I180" t="str">
        <f>IFERROR(VLOOKUP(TRIM(E180),Objetivos!$A$2:$C$200,2,FALSE)&amp;"_"&amp;RIGHT(E180,2),"")</f>
        <v/>
      </c>
    </row>
    <row r="181" spans="9:9" x14ac:dyDescent="0.25">
      <c r="I181" t="str">
        <f>IFERROR(VLOOKUP(TRIM(E181),Objetivos!$A$2:$C$200,2,FALSE)&amp;"_"&amp;RIGHT(E181,2),"")</f>
        <v/>
      </c>
    </row>
    <row r="182" spans="9:9" x14ac:dyDescent="0.25">
      <c r="I182" t="str">
        <f>IFERROR(VLOOKUP(TRIM(E182),Objetivos!$A$2:$C$200,2,FALSE)&amp;"_"&amp;RIGHT(E182,2),"")</f>
        <v/>
      </c>
    </row>
    <row r="183" spans="9:9" x14ac:dyDescent="0.25">
      <c r="I183" t="str">
        <f>IFERROR(VLOOKUP(TRIM(E183),Objetivos!$A$2:$C$200,2,FALSE)&amp;"_"&amp;RIGHT(E183,2),"")</f>
        <v/>
      </c>
    </row>
    <row r="184" spans="9:9" x14ac:dyDescent="0.25">
      <c r="I184" t="str">
        <f>IFERROR(VLOOKUP(TRIM(E184),Objetivos!$A$2:$C$200,2,FALSE)&amp;"_"&amp;RIGHT(E184,2),"")</f>
        <v/>
      </c>
    </row>
    <row r="185" spans="9:9" x14ac:dyDescent="0.25">
      <c r="I185" t="str">
        <f>IFERROR(VLOOKUP(TRIM(E185),Objetivos!$A$2:$C$200,2,FALSE)&amp;"_"&amp;RIGHT(E185,2),"")</f>
        <v/>
      </c>
    </row>
    <row r="186" spans="9:9" x14ac:dyDescent="0.25">
      <c r="I186" t="str">
        <f>IFERROR(VLOOKUP(TRIM(E186),Objetivos!$A$2:$C$200,2,FALSE)&amp;"_"&amp;RIGHT(E186,2),"")</f>
        <v/>
      </c>
    </row>
    <row r="187" spans="9:9" x14ac:dyDescent="0.25">
      <c r="I187" t="str">
        <f>IFERROR(VLOOKUP(TRIM(E187),Objetivos!$A$2:$C$200,2,FALSE)&amp;"_"&amp;RIGHT(E187,2),"")</f>
        <v/>
      </c>
    </row>
    <row r="188" spans="9:9" x14ac:dyDescent="0.25">
      <c r="I188" t="str">
        <f>IFERROR(VLOOKUP(TRIM(E188),Objetivos!$A$2:$C$200,2,FALSE)&amp;"_"&amp;RIGHT(E188,2),"")</f>
        <v/>
      </c>
    </row>
    <row r="189" spans="9:9" x14ac:dyDescent="0.25">
      <c r="I189" t="str">
        <f>IFERROR(VLOOKUP(TRIM(E189),Objetivos!$A$2:$C$200,2,FALSE)&amp;"_"&amp;RIGHT(E189,2),"")</f>
        <v/>
      </c>
    </row>
    <row r="190" spans="9:9" x14ac:dyDescent="0.25">
      <c r="I190" t="str">
        <f>IFERROR(VLOOKUP(TRIM(E190),Objetivos!$A$2:$C$200,2,FALSE)&amp;"_"&amp;RIGHT(E190,2),"")</f>
        <v/>
      </c>
    </row>
    <row r="191" spans="9:9" x14ac:dyDescent="0.25">
      <c r="I191" t="str">
        <f>IFERROR(VLOOKUP(TRIM(E191),Objetivos!$A$2:$C$200,2,FALSE)&amp;"_"&amp;RIGHT(E191,2),"")</f>
        <v/>
      </c>
    </row>
    <row r="192" spans="9:9" x14ac:dyDescent="0.25">
      <c r="I192" t="str">
        <f>IFERROR(VLOOKUP(TRIM(E192),Objetivos!$A$2:$C$200,2,FALSE)&amp;"_"&amp;RIGHT(E192,2),"")</f>
        <v/>
      </c>
    </row>
    <row r="193" spans="9:9" x14ac:dyDescent="0.25">
      <c r="I193" t="str">
        <f>IFERROR(VLOOKUP(TRIM(E193),Objetivos!$A$2:$C$200,2,FALSE)&amp;"_"&amp;RIGHT(E193,2),"")</f>
        <v/>
      </c>
    </row>
    <row r="194" spans="9:9" x14ac:dyDescent="0.25">
      <c r="I194" t="str">
        <f>IFERROR(VLOOKUP(TRIM(E194),Objetivos!$A$2:$C$200,2,FALSE)&amp;"_"&amp;RIGHT(E194,2),"")</f>
        <v/>
      </c>
    </row>
    <row r="195" spans="9:9" x14ac:dyDescent="0.25">
      <c r="I195" t="str">
        <f>IFERROR(VLOOKUP(TRIM(E195),Objetivos!$A$2:$C$200,2,FALSE)&amp;"_"&amp;RIGHT(E195,2),"")</f>
        <v/>
      </c>
    </row>
    <row r="196" spans="9:9" x14ac:dyDescent="0.25">
      <c r="I196" t="str">
        <f>IFERROR(VLOOKUP(TRIM(E196),Objetivos!$A$2:$C$200,2,FALSE)&amp;"_"&amp;RIGHT(E196,2),"")</f>
        <v/>
      </c>
    </row>
    <row r="197" spans="9:9" x14ac:dyDescent="0.25">
      <c r="I197" t="str">
        <f>IFERROR(VLOOKUP(TRIM(E197),Objetivos!$A$2:$C$200,2,FALSE)&amp;"_"&amp;RIGHT(E197,2),"")</f>
        <v/>
      </c>
    </row>
    <row r="198" spans="9:9" x14ac:dyDescent="0.25">
      <c r="I198" t="str">
        <f>IFERROR(VLOOKUP(TRIM(E198),Objetivos!$A$2:$C$200,2,FALSE)&amp;"_"&amp;RIGHT(E198,2),"")</f>
        <v/>
      </c>
    </row>
    <row r="199" spans="9:9" x14ac:dyDescent="0.25">
      <c r="I199" t="str">
        <f>IFERROR(VLOOKUP(TRIM(E199),Objetivos!$A$2:$C$200,2,FALSE)&amp;"_"&amp;RIGHT(E199,2),"")</f>
        <v/>
      </c>
    </row>
    <row r="200" spans="9:9" x14ac:dyDescent="0.25">
      <c r="I200" t="str">
        <f>IFERROR(VLOOKUP(TRIM(E200),Objetivos!$A$2:$C$200,2,FALSE)&amp;"_"&amp;RIGHT(E200,2),"")</f>
        <v/>
      </c>
    </row>
  </sheetData>
  <dataValidations count="4">
    <dataValidation type="list" allowBlank="1" showInputMessage="1" showErrorMessage="1" sqref="B2:B200" xr:uid="{00000000-0002-0000-0500-000000000000}">
      <formula1>INDIRECT(A2)</formula1>
    </dataValidation>
    <dataValidation type="list" allowBlank="1" showInputMessage="1" showErrorMessage="1" sqref="C3:C200" xr:uid="{00000000-0002-0000-0500-000001000000}">
      <formula1>INDIRECT(K3)</formula1>
    </dataValidation>
    <dataValidation type="list" allowBlank="1" showInputMessage="1" showErrorMessage="1" sqref="C2" xr:uid="{00000000-0002-0000-0500-000002000000}">
      <formula1>INDIRECT(Z2)</formula1>
    </dataValidation>
    <dataValidation type="list" allowBlank="1" showDropDown="1" showInputMessage="1" showErrorMessage="1" sqref="C2:C200" xr:uid="{00000000-0002-0000-0500-000003000000}">
      <formula1>SE(I2&lt;&gt;"",INDIRETO(I2),"")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9"/>
  <sheetViews>
    <sheetView workbookViewId="0"/>
  </sheetViews>
  <sheetFormatPr defaultRowHeight="15" x14ac:dyDescent="0.25"/>
  <cols>
    <col min="1" max="6" width="13.140625" customWidth="1"/>
    <col min="7" max="7" width="47.140625" bestFit="1" customWidth="1"/>
    <col min="8" max="58" width="13.140625" customWidth="1"/>
  </cols>
  <sheetData>
    <row r="1" spans="1:55" x14ac:dyDescent="0.25">
      <c r="A1" t="s">
        <v>619</v>
      </c>
      <c r="B1" t="s">
        <v>3</v>
      </c>
      <c r="C1" t="s">
        <v>5</v>
      </c>
      <c r="D1" t="s">
        <v>7</v>
      </c>
      <c r="E1" t="s">
        <v>9</v>
      </c>
      <c r="F1" t="s">
        <v>11</v>
      </c>
      <c r="G1" t="s">
        <v>13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632</v>
      </c>
      <c r="S1" t="s">
        <v>633</v>
      </c>
      <c r="T1" t="s">
        <v>634</v>
      </c>
      <c r="U1" t="s">
        <v>635</v>
      </c>
      <c r="V1" t="s">
        <v>636</v>
      </c>
      <c r="W1" t="s">
        <v>637</v>
      </c>
      <c r="X1" t="s">
        <v>638</v>
      </c>
      <c r="Y1" t="s">
        <v>639</v>
      </c>
      <c r="Z1" t="s">
        <v>640</v>
      </c>
      <c r="AA1" t="s">
        <v>641</v>
      </c>
      <c r="AB1" t="s">
        <v>642</v>
      </c>
      <c r="AC1" t="s">
        <v>643</v>
      </c>
      <c r="AD1" t="s">
        <v>644</v>
      </c>
      <c r="AE1" t="s">
        <v>645</v>
      </c>
      <c r="AF1" t="s">
        <v>646</v>
      </c>
      <c r="AG1" t="s">
        <v>647</v>
      </c>
      <c r="AH1" t="s">
        <v>648</v>
      </c>
      <c r="AI1" t="s">
        <v>649</v>
      </c>
      <c r="AJ1" t="s">
        <v>650</v>
      </c>
      <c r="AK1" t="s">
        <v>651</v>
      </c>
      <c r="AL1" t="s">
        <v>652</v>
      </c>
      <c r="AM1" t="s">
        <v>653</v>
      </c>
      <c r="AN1" t="s">
        <v>654</v>
      </c>
      <c r="AO1" t="s">
        <v>655</v>
      </c>
      <c r="AP1" t="s">
        <v>656</v>
      </c>
      <c r="AQ1" t="s">
        <v>657</v>
      </c>
      <c r="AR1" t="s">
        <v>658</v>
      </c>
      <c r="AS1" t="s">
        <v>659</v>
      </c>
      <c r="AT1" t="s">
        <v>660</v>
      </c>
      <c r="AU1" t="s">
        <v>661</v>
      </c>
      <c r="AV1" t="s">
        <v>662</v>
      </c>
      <c r="AW1" t="s">
        <v>663</v>
      </c>
      <c r="AX1" t="s">
        <v>664</v>
      </c>
      <c r="AY1" t="s">
        <v>665</v>
      </c>
      <c r="AZ1" t="s">
        <v>666</v>
      </c>
      <c r="BA1" t="s">
        <v>667</v>
      </c>
      <c r="BB1" t="s">
        <v>668</v>
      </c>
      <c r="BC1" t="s">
        <v>669</v>
      </c>
    </row>
    <row r="2" spans="1:55" x14ac:dyDescent="0.25">
      <c r="A2" t="s">
        <v>3</v>
      </c>
      <c r="B2" t="s">
        <v>35</v>
      </c>
      <c r="C2" t="s">
        <v>51</v>
      </c>
      <c r="D2" t="s">
        <v>67</v>
      </c>
      <c r="E2" t="s">
        <v>83</v>
      </c>
      <c r="F2" t="s">
        <v>99</v>
      </c>
      <c r="G2" t="s">
        <v>115</v>
      </c>
      <c r="H2" t="s">
        <v>134</v>
      </c>
      <c r="I2" t="s">
        <v>144</v>
      </c>
      <c r="J2" t="s">
        <v>154</v>
      </c>
      <c r="K2" t="s">
        <v>164</v>
      </c>
      <c r="L2" t="s">
        <v>174</v>
      </c>
      <c r="M2" t="s">
        <v>184</v>
      </c>
      <c r="N2" t="s">
        <v>194</v>
      </c>
      <c r="O2" t="s">
        <v>204</v>
      </c>
      <c r="P2" t="s">
        <v>214</v>
      </c>
      <c r="Q2" t="s">
        <v>224</v>
      </c>
      <c r="R2" t="s">
        <v>234</v>
      </c>
      <c r="S2" t="s">
        <v>244</v>
      </c>
      <c r="T2" t="s">
        <v>254</v>
      </c>
      <c r="U2" t="s">
        <v>264</v>
      </c>
      <c r="V2" t="s">
        <v>274</v>
      </c>
      <c r="W2" t="s">
        <v>284</v>
      </c>
      <c r="X2" t="s">
        <v>294</v>
      </c>
      <c r="Y2" t="s">
        <v>304</v>
      </c>
      <c r="Z2" t="s">
        <v>314</v>
      </c>
      <c r="AA2" t="s">
        <v>324</v>
      </c>
      <c r="AB2" t="s">
        <v>334</v>
      </c>
      <c r="AC2" t="s">
        <v>344</v>
      </c>
      <c r="AD2" t="s">
        <v>354</v>
      </c>
      <c r="AE2" t="s">
        <v>364</v>
      </c>
      <c r="AF2" t="s">
        <v>374</v>
      </c>
      <c r="AG2" t="s">
        <v>384</v>
      </c>
      <c r="AH2" t="s">
        <v>394</v>
      </c>
      <c r="AI2" t="s">
        <v>404</v>
      </c>
      <c r="AJ2" t="s">
        <v>414</v>
      </c>
      <c r="AK2" t="s">
        <v>424</v>
      </c>
      <c r="AL2" t="s">
        <v>434</v>
      </c>
      <c r="AM2" t="s">
        <v>444</v>
      </c>
      <c r="AN2" t="s">
        <v>454</v>
      </c>
      <c r="AO2" t="s">
        <v>464</v>
      </c>
      <c r="AP2" t="s">
        <v>474</v>
      </c>
      <c r="AQ2" t="s">
        <v>484</v>
      </c>
      <c r="AR2" t="s">
        <v>494</v>
      </c>
      <c r="AS2" t="s">
        <v>504</v>
      </c>
      <c r="AT2" t="s">
        <v>514</v>
      </c>
      <c r="AU2" t="s">
        <v>524</v>
      </c>
      <c r="AV2" t="s">
        <v>534</v>
      </c>
      <c r="AW2" t="s">
        <v>544</v>
      </c>
      <c r="AX2" t="s">
        <v>554</v>
      </c>
      <c r="AY2" t="s">
        <v>564</v>
      </c>
      <c r="AZ2" t="s">
        <v>574</v>
      </c>
      <c r="BA2" t="s">
        <v>584</v>
      </c>
      <c r="BB2" t="s">
        <v>594</v>
      </c>
      <c r="BC2" t="s">
        <v>604</v>
      </c>
    </row>
    <row r="3" spans="1:55" x14ac:dyDescent="0.25">
      <c r="A3" t="s">
        <v>5</v>
      </c>
      <c r="B3" t="s">
        <v>37</v>
      </c>
      <c r="C3" t="s">
        <v>53</v>
      </c>
      <c r="D3" t="s">
        <v>69</v>
      </c>
      <c r="E3" t="s">
        <v>85</v>
      </c>
      <c r="F3" t="s">
        <v>101</v>
      </c>
      <c r="G3" t="s">
        <v>117</v>
      </c>
      <c r="H3" t="s">
        <v>136</v>
      </c>
      <c r="I3" t="s">
        <v>146</v>
      </c>
      <c r="J3" t="s">
        <v>156</v>
      </c>
      <c r="K3" t="s">
        <v>166</v>
      </c>
      <c r="L3" t="s">
        <v>176</v>
      </c>
      <c r="M3" t="s">
        <v>186</v>
      </c>
      <c r="N3" t="s">
        <v>196</v>
      </c>
      <c r="O3" t="s">
        <v>206</v>
      </c>
      <c r="P3" t="s">
        <v>216</v>
      </c>
      <c r="Q3" t="s">
        <v>226</v>
      </c>
      <c r="R3" t="s">
        <v>236</v>
      </c>
      <c r="S3" t="s">
        <v>246</v>
      </c>
      <c r="T3" t="s">
        <v>256</v>
      </c>
      <c r="U3" t="s">
        <v>266</v>
      </c>
      <c r="V3" t="s">
        <v>276</v>
      </c>
      <c r="W3" t="s">
        <v>286</v>
      </c>
      <c r="X3" t="s">
        <v>296</v>
      </c>
      <c r="Y3" t="s">
        <v>306</v>
      </c>
      <c r="Z3" t="s">
        <v>316</v>
      </c>
      <c r="AA3" t="s">
        <v>326</v>
      </c>
      <c r="AB3" t="s">
        <v>336</v>
      </c>
      <c r="AC3" t="s">
        <v>346</v>
      </c>
      <c r="AD3" t="s">
        <v>356</v>
      </c>
      <c r="AE3" t="s">
        <v>366</v>
      </c>
      <c r="AF3" t="s">
        <v>376</v>
      </c>
      <c r="AG3" t="s">
        <v>386</v>
      </c>
      <c r="AH3" t="s">
        <v>396</v>
      </c>
      <c r="AI3" t="s">
        <v>406</v>
      </c>
      <c r="AJ3" t="s">
        <v>416</v>
      </c>
      <c r="AK3" t="s">
        <v>426</v>
      </c>
      <c r="AL3" t="s">
        <v>436</v>
      </c>
      <c r="AM3" t="s">
        <v>446</v>
      </c>
      <c r="AN3" t="s">
        <v>456</v>
      </c>
      <c r="AO3" t="s">
        <v>466</v>
      </c>
      <c r="AP3" t="s">
        <v>476</v>
      </c>
      <c r="AQ3" t="s">
        <v>486</v>
      </c>
      <c r="AR3" t="s">
        <v>496</v>
      </c>
      <c r="AS3" t="s">
        <v>506</v>
      </c>
      <c r="AT3" t="s">
        <v>516</v>
      </c>
      <c r="AU3" t="s">
        <v>526</v>
      </c>
      <c r="AV3" t="s">
        <v>536</v>
      </c>
      <c r="AW3" t="s">
        <v>546</v>
      </c>
      <c r="AX3" t="s">
        <v>556</v>
      </c>
      <c r="AY3" t="s">
        <v>566</v>
      </c>
      <c r="AZ3" t="s">
        <v>576</v>
      </c>
      <c r="BA3" t="s">
        <v>586</v>
      </c>
      <c r="BB3" t="s">
        <v>596</v>
      </c>
      <c r="BC3" t="s">
        <v>606</v>
      </c>
    </row>
    <row r="4" spans="1:55" x14ac:dyDescent="0.25">
      <c r="A4" t="s">
        <v>7</v>
      </c>
      <c r="B4" t="s">
        <v>39</v>
      </c>
      <c r="C4" t="s">
        <v>55</v>
      </c>
      <c r="D4" t="s">
        <v>71</v>
      </c>
      <c r="E4" t="s">
        <v>87</v>
      </c>
      <c r="F4" t="s">
        <v>103</v>
      </c>
      <c r="G4" t="s">
        <v>119</v>
      </c>
      <c r="H4" t="s">
        <v>138</v>
      </c>
      <c r="I4" t="s">
        <v>148</v>
      </c>
      <c r="J4" t="s">
        <v>158</v>
      </c>
      <c r="K4" t="s">
        <v>168</v>
      </c>
      <c r="L4" t="s">
        <v>178</v>
      </c>
      <c r="M4" t="s">
        <v>188</v>
      </c>
      <c r="N4" t="s">
        <v>198</v>
      </c>
      <c r="O4" t="s">
        <v>208</v>
      </c>
      <c r="P4" t="s">
        <v>218</v>
      </c>
      <c r="Q4" t="s">
        <v>228</v>
      </c>
      <c r="R4" t="s">
        <v>238</v>
      </c>
      <c r="S4" t="s">
        <v>248</v>
      </c>
      <c r="T4" t="s">
        <v>258</v>
      </c>
      <c r="U4" t="s">
        <v>268</v>
      </c>
      <c r="V4" t="s">
        <v>278</v>
      </c>
      <c r="W4" t="s">
        <v>288</v>
      </c>
      <c r="X4" t="s">
        <v>298</v>
      </c>
      <c r="Y4" t="s">
        <v>308</v>
      </c>
      <c r="Z4" t="s">
        <v>318</v>
      </c>
      <c r="AA4" t="s">
        <v>328</v>
      </c>
      <c r="AB4" t="s">
        <v>338</v>
      </c>
      <c r="AC4" t="s">
        <v>348</v>
      </c>
      <c r="AD4" t="s">
        <v>358</v>
      </c>
      <c r="AE4" t="s">
        <v>368</v>
      </c>
      <c r="AF4" t="s">
        <v>378</v>
      </c>
      <c r="AG4" t="s">
        <v>388</v>
      </c>
      <c r="AH4" t="s">
        <v>398</v>
      </c>
      <c r="AI4" t="s">
        <v>408</v>
      </c>
      <c r="AJ4" t="s">
        <v>418</v>
      </c>
      <c r="AK4" t="s">
        <v>428</v>
      </c>
      <c r="AL4" t="s">
        <v>438</v>
      </c>
      <c r="AM4" t="s">
        <v>448</v>
      </c>
      <c r="AN4" t="s">
        <v>458</v>
      </c>
      <c r="AO4" t="s">
        <v>468</v>
      </c>
      <c r="AP4" t="s">
        <v>478</v>
      </c>
      <c r="AQ4" t="s">
        <v>488</v>
      </c>
      <c r="AR4" t="s">
        <v>498</v>
      </c>
      <c r="AS4" t="s">
        <v>508</v>
      </c>
      <c r="AT4" t="s">
        <v>518</v>
      </c>
      <c r="AU4" t="s">
        <v>528</v>
      </c>
      <c r="AV4" t="s">
        <v>538</v>
      </c>
      <c r="AW4" t="s">
        <v>548</v>
      </c>
      <c r="AX4" t="s">
        <v>558</v>
      </c>
      <c r="AY4" t="s">
        <v>568</v>
      </c>
      <c r="AZ4" t="s">
        <v>578</v>
      </c>
      <c r="BA4" t="s">
        <v>588</v>
      </c>
      <c r="BB4" t="s">
        <v>598</v>
      </c>
      <c r="BC4" t="s">
        <v>608</v>
      </c>
    </row>
    <row r="5" spans="1:55" x14ac:dyDescent="0.25">
      <c r="A5" t="s">
        <v>9</v>
      </c>
      <c r="B5" t="s">
        <v>41</v>
      </c>
      <c r="C5" t="s">
        <v>57</v>
      </c>
      <c r="D5" t="s">
        <v>73</v>
      </c>
      <c r="E5" t="s">
        <v>89</v>
      </c>
      <c r="F5" t="s">
        <v>105</v>
      </c>
      <c r="G5" t="s">
        <v>121</v>
      </c>
      <c r="H5" t="s">
        <v>140</v>
      </c>
      <c r="I5" t="s">
        <v>150</v>
      </c>
      <c r="J5" t="s">
        <v>160</v>
      </c>
      <c r="K5" t="s">
        <v>170</v>
      </c>
      <c r="L5" t="s">
        <v>180</v>
      </c>
      <c r="M5" t="s">
        <v>190</v>
      </c>
      <c r="N5" t="s">
        <v>200</v>
      </c>
      <c r="O5" t="s">
        <v>210</v>
      </c>
      <c r="P5" t="s">
        <v>220</v>
      </c>
      <c r="Q5" t="s">
        <v>230</v>
      </c>
      <c r="R5" t="s">
        <v>240</v>
      </c>
      <c r="S5" t="s">
        <v>250</v>
      </c>
      <c r="T5" t="s">
        <v>260</v>
      </c>
      <c r="U5" t="s">
        <v>270</v>
      </c>
      <c r="V5" t="s">
        <v>280</v>
      </c>
      <c r="W5" t="s">
        <v>290</v>
      </c>
      <c r="X5" t="s">
        <v>300</v>
      </c>
      <c r="Y5" t="s">
        <v>310</v>
      </c>
      <c r="Z5" t="s">
        <v>320</v>
      </c>
      <c r="AA5" t="s">
        <v>330</v>
      </c>
      <c r="AB5" t="s">
        <v>340</v>
      </c>
      <c r="AC5" t="s">
        <v>350</v>
      </c>
      <c r="AD5" t="s">
        <v>360</v>
      </c>
      <c r="AE5" t="s">
        <v>370</v>
      </c>
      <c r="AF5" t="s">
        <v>380</v>
      </c>
      <c r="AG5" t="s">
        <v>390</v>
      </c>
      <c r="AH5" t="s">
        <v>400</v>
      </c>
      <c r="AI5" t="s">
        <v>410</v>
      </c>
      <c r="AJ5" t="s">
        <v>420</v>
      </c>
      <c r="AK5" t="s">
        <v>430</v>
      </c>
      <c r="AL5" t="s">
        <v>440</v>
      </c>
      <c r="AM5" t="s">
        <v>450</v>
      </c>
      <c r="AN5" t="s">
        <v>460</v>
      </c>
      <c r="AO5" t="s">
        <v>470</v>
      </c>
      <c r="AP5" t="s">
        <v>480</v>
      </c>
      <c r="AQ5" t="s">
        <v>490</v>
      </c>
      <c r="AR5" t="s">
        <v>500</v>
      </c>
      <c r="AS5" t="s">
        <v>510</v>
      </c>
      <c r="AT5" t="s">
        <v>520</v>
      </c>
      <c r="AU5" t="s">
        <v>530</v>
      </c>
      <c r="AV5" t="s">
        <v>540</v>
      </c>
      <c r="AW5" t="s">
        <v>550</v>
      </c>
      <c r="AX5" t="s">
        <v>560</v>
      </c>
      <c r="AY5" t="s">
        <v>570</v>
      </c>
      <c r="AZ5" t="s">
        <v>580</v>
      </c>
      <c r="BA5" t="s">
        <v>590</v>
      </c>
      <c r="BB5" t="s">
        <v>600</v>
      </c>
      <c r="BC5" t="s">
        <v>610</v>
      </c>
    </row>
    <row r="6" spans="1:55" x14ac:dyDescent="0.25">
      <c r="A6" t="s">
        <v>11</v>
      </c>
      <c r="B6" t="s">
        <v>43</v>
      </c>
      <c r="C6" t="s">
        <v>59</v>
      </c>
      <c r="D6" t="s">
        <v>75</v>
      </c>
      <c r="E6" t="s">
        <v>91</v>
      </c>
      <c r="F6" t="s">
        <v>107</v>
      </c>
      <c r="G6" t="s">
        <v>123</v>
      </c>
      <c r="H6" t="s">
        <v>142</v>
      </c>
      <c r="I6" t="s">
        <v>152</v>
      </c>
      <c r="J6" t="s">
        <v>162</v>
      </c>
      <c r="K6" t="s">
        <v>172</v>
      </c>
      <c r="L6" t="s">
        <v>182</v>
      </c>
      <c r="M6" t="s">
        <v>192</v>
      </c>
      <c r="N6" t="s">
        <v>202</v>
      </c>
      <c r="O6" t="s">
        <v>212</v>
      </c>
      <c r="P6" t="s">
        <v>222</v>
      </c>
      <c r="Q6" t="s">
        <v>232</v>
      </c>
      <c r="R6" t="s">
        <v>242</v>
      </c>
      <c r="S6" t="s">
        <v>252</v>
      </c>
      <c r="T6" t="s">
        <v>262</v>
      </c>
      <c r="U6" t="s">
        <v>272</v>
      </c>
      <c r="V6" t="s">
        <v>282</v>
      </c>
      <c r="W6" t="s">
        <v>292</v>
      </c>
      <c r="X6" t="s">
        <v>302</v>
      </c>
      <c r="Y6" t="s">
        <v>312</v>
      </c>
      <c r="Z6" t="s">
        <v>322</v>
      </c>
      <c r="AA6" t="s">
        <v>332</v>
      </c>
      <c r="AB6" t="s">
        <v>342</v>
      </c>
      <c r="AC6" t="s">
        <v>352</v>
      </c>
      <c r="AD6" t="s">
        <v>362</v>
      </c>
      <c r="AE6" t="s">
        <v>372</v>
      </c>
      <c r="AF6" t="s">
        <v>382</v>
      </c>
      <c r="AG6" t="s">
        <v>392</v>
      </c>
      <c r="AH6" t="s">
        <v>402</v>
      </c>
      <c r="AI6" t="s">
        <v>412</v>
      </c>
      <c r="AJ6" t="s">
        <v>422</v>
      </c>
      <c r="AK6" t="s">
        <v>432</v>
      </c>
      <c r="AL6" t="s">
        <v>442</v>
      </c>
      <c r="AM6" t="s">
        <v>452</v>
      </c>
      <c r="AN6" t="s">
        <v>462</v>
      </c>
      <c r="AO6" t="s">
        <v>472</v>
      </c>
      <c r="AP6" t="s">
        <v>482</v>
      </c>
      <c r="AQ6" t="s">
        <v>492</v>
      </c>
      <c r="AR6" t="s">
        <v>502</v>
      </c>
      <c r="AS6" t="s">
        <v>512</v>
      </c>
      <c r="AT6" t="s">
        <v>522</v>
      </c>
      <c r="AU6" t="s">
        <v>532</v>
      </c>
      <c r="AV6" t="s">
        <v>542</v>
      </c>
      <c r="AW6" t="s">
        <v>552</v>
      </c>
      <c r="AX6" t="s">
        <v>562</v>
      </c>
      <c r="AY6" t="s">
        <v>572</v>
      </c>
      <c r="AZ6" t="s">
        <v>582</v>
      </c>
      <c r="BA6" t="s">
        <v>592</v>
      </c>
      <c r="BB6" t="s">
        <v>602</v>
      </c>
      <c r="BC6" t="s">
        <v>612</v>
      </c>
    </row>
    <row r="7" spans="1:55" x14ac:dyDescent="0.25">
      <c r="A7" t="s">
        <v>13</v>
      </c>
      <c r="B7" t="s">
        <v>45</v>
      </c>
      <c r="C7" t="s">
        <v>61</v>
      </c>
      <c r="D7" t="s">
        <v>77</v>
      </c>
      <c r="E7" t="s">
        <v>93</v>
      </c>
      <c r="F7" t="s">
        <v>109</v>
      </c>
      <c r="G7" t="s">
        <v>125</v>
      </c>
    </row>
    <row r="8" spans="1:55" x14ac:dyDescent="0.25">
      <c r="B8" t="s">
        <v>47</v>
      </c>
      <c r="C8" t="s">
        <v>63</v>
      </c>
      <c r="D8" t="s">
        <v>79</v>
      </c>
      <c r="E8" t="s">
        <v>95</v>
      </c>
      <c r="F8" t="s">
        <v>111</v>
      </c>
      <c r="G8" t="s">
        <v>127</v>
      </c>
    </row>
    <row r="9" spans="1:55" x14ac:dyDescent="0.25">
      <c r="B9" t="s">
        <v>49</v>
      </c>
      <c r="C9" t="s">
        <v>65</v>
      </c>
      <c r="D9" t="s">
        <v>81</v>
      </c>
      <c r="E9" t="s">
        <v>97</v>
      </c>
      <c r="F9" t="s">
        <v>113</v>
      </c>
      <c r="G9" t="s">
        <v>129</v>
      </c>
    </row>
  </sheetData>
  <dataValidations disablePrompts="1" count="1">
    <dataValidation type="list" allowBlank="1" showInputMessage="1" showErrorMessage="1" sqref="B2:B100" xr:uid="{00000000-0002-0000-0600-000000000000}">
      <formula1>$A$2:$A$100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54</vt:i4>
      </vt:variant>
    </vt:vector>
  </HeadingPairs>
  <TitlesOfParts>
    <vt:vector size="61" baseType="lpstr">
      <vt:lpstr>Áreas</vt:lpstr>
      <vt:lpstr>Resumo Semanal</vt:lpstr>
      <vt:lpstr>Níveis Alcançados</vt:lpstr>
      <vt:lpstr>Objetivos</vt:lpstr>
      <vt:lpstr>Estratégias</vt:lpstr>
      <vt:lpstr>Registros Diários</vt:lpstr>
      <vt:lpstr>ListasAuxiliares</vt:lpstr>
      <vt:lpstr>Ajudar_idosos_ou_crianças_quando_possivel</vt:lpstr>
      <vt:lpstr>Ajudar_nas_tarefas_de_casa_com_regularidade</vt:lpstr>
      <vt:lpstr>Amigos</vt:lpstr>
      <vt:lpstr>Apoiar_os_novos_membros_e_visitantes</vt:lpstr>
      <vt:lpstr>Aprender_a_lidar_com_minhas_emoções</vt:lpstr>
      <vt:lpstr>Aumentar_minha_media_em_pelo_menos_uma_disciplina</vt:lpstr>
      <vt:lpstr>Buscar_ajuda_quando_tiver_dificuldades</vt:lpstr>
      <vt:lpstr>Buscar_conselhos_com_lideres_espirituais</vt:lpstr>
      <vt:lpstr>Buscar_crescimento_espiritual</vt:lpstr>
      <vt:lpstr>Comunidade</vt:lpstr>
      <vt:lpstr>Controlar_meu_tempo_no_celular_e_redes</vt:lpstr>
      <vt:lpstr>Criar_habitos_saudaveis__sono__alimentação</vt:lpstr>
      <vt:lpstr>Cuidar_da_minha_saude_fisica</vt:lpstr>
      <vt:lpstr>Cuidar_do_ambiente_ao_meu_redor</vt:lpstr>
      <vt:lpstr>Cuidar_do_meu_comportamento_escolar</vt:lpstr>
      <vt:lpstr>Cumprir_regras_e_responsabilidades_publicas</vt:lpstr>
      <vt:lpstr>Dar_bons_conselhos_quando_for_procurado</vt:lpstr>
      <vt:lpstr>Desenvolver_amizades_saudaveis</vt:lpstr>
      <vt:lpstr>Desenvolver_um_plano_de_vida_com_metas_claras</vt:lpstr>
      <vt:lpstr>Escola</vt:lpstr>
      <vt:lpstr>Eu_mesmo</vt:lpstr>
      <vt:lpstr>Evitar_comparações_e_inveja</vt:lpstr>
      <vt:lpstr>Evitar_discussões_desnecessarias</vt:lpstr>
      <vt:lpstr>Evitar_distrações_em_sala_de_aula</vt:lpstr>
      <vt:lpstr>Evitar_fofocas_e_julgamentos</vt:lpstr>
      <vt:lpstr>Expressar_gratidão_e_carinho_dentro_de_casa</vt:lpstr>
      <vt:lpstr>Familia</vt:lpstr>
      <vt:lpstr>Frequentar_os_cultos_com_regularidade</vt:lpstr>
      <vt:lpstr>Igreja</vt:lpstr>
      <vt:lpstr>Incluir_colegas_que_ficam_isolados</vt:lpstr>
      <vt:lpstr>Manter_contato_com_amigos_antigos</vt:lpstr>
      <vt:lpstr>Me_conhecer_melhor_e_valorizar_minhas_qualidades</vt:lpstr>
      <vt:lpstr>Melhorar_a_comunicação_com_meus_pais</vt:lpstr>
      <vt:lpstr>Melhorar_minha_participação_nas_aulas</vt:lpstr>
      <vt:lpstr>Montar_um_plano_de_estudos_realista</vt:lpstr>
      <vt:lpstr>Orar_com_minha_familia_regularmente</vt:lpstr>
      <vt:lpstr>Orar_e_ler_a_Biblia_diariamente</vt:lpstr>
      <vt:lpstr>Orar_por_meus_amigos_regularmente</vt:lpstr>
      <vt:lpstr>Organizar_melhor_meus_estudos_e_prazos</vt:lpstr>
      <vt:lpstr>Participar_ativamente_do_ministerio_de_jovens</vt:lpstr>
      <vt:lpstr>Participar_de_ações_sociais_ou_voluntariado</vt:lpstr>
      <vt:lpstr>Passar_tempo_de_qualidade_com_minha_familia</vt:lpstr>
      <vt:lpstr>Representar_bem_minha_fe_e_meus_valores</vt:lpstr>
      <vt:lpstr>Respeitar_os_horarios_e_regras_do_lar</vt:lpstr>
      <vt:lpstr>Respeitar_professores_e_colegas</vt:lpstr>
      <vt:lpstr>Ser_mais_paciente_com_meus_irmãos_ou_parentes</vt:lpstr>
      <vt:lpstr>Ser_mais_presente_nos_momentos_dificeis</vt:lpstr>
      <vt:lpstr>Ser_pontual_e_comprometido_nas_atividades</vt:lpstr>
      <vt:lpstr>Ser_respeitoso_com_todos__mesmo_os_diferentes</vt:lpstr>
      <vt:lpstr>Servir_em_algum_ministerio_da_igreja</vt:lpstr>
      <vt:lpstr>Testemunhar_minha_fe_com_sabedoria</vt:lpstr>
      <vt:lpstr>Tratar_bem_os_vizinhos</vt:lpstr>
      <vt:lpstr>Usar_redes_sociais_com_responsabilidade</vt:lpstr>
      <vt:lpstr>Valorizar_os_verdadeiros_amigos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Wanderley Gazeta</cp:lastModifiedBy>
  <dcterms:created xsi:type="dcterms:W3CDTF">2025-07-16T19:07:23Z</dcterms:created>
  <dcterms:modified xsi:type="dcterms:W3CDTF">2025-07-17T02:21:11Z</dcterms:modified>
</cp:coreProperties>
</file>