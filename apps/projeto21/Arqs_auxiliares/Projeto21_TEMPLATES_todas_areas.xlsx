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26A56EDD-1775-474F-BBA1-BCE5B432400F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Resumo &amp; Instruções" sheetId="1" r:id="rId1"/>
    <sheet name="_DV" sheetId="2" state="hidden" r:id="rId2"/>
    <sheet name="Familia" sheetId="3" r:id="rId3"/>
    <sheet name="Escola" sheetId="4" r:id="rId4"/>
    <sheet name="Eu mesmo" sheetId="5" r:id="rId5"/>
    <sheet name="Amigos" sheetId="6" r:id="rId6"/>
    <sheet name="Comunidade" sheetId="7" r:id="rId7"/>
    <sheet name="Igrej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2" i="8"/>
  <c r="M36" i="8"/>
  <c r="N38" i="8"/>
  <c r="M38" i="8"/>
  <c r="N37" i="8"/>
  <c r="M37" i="8"/>
  <c r="N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O39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O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<sst xmlns="http://schemas.openxmlformats.org/spreadsheetml/2006/main" count="1232" uniqueCount="308">
  <si>
    <t>Como preencher</t>
  </si>
  <si>
    <t>1.</t>
  </si>
  <si>
    <t>Preencha FreqNum/Unid (G/H), IntervaloNum/Unid (I/J – opcional) e PeriodoNum/Unid (K/L).</t>
  </si>
  <si>
    <t>2.</t>
  </si>
  <si>
    <t>Unidades válidas: d = dia(s), s = semana(s).</t>
  </si>
  <si>
    <t>3.</t>
  </si>
  <si>
    <t>Zeros à esquerda não são necessários nas colunas numéricas.</t>
  </si>
  <si>
    <t>4.</t>
  </si>
  <si>
    <t>A coluna CODIGO é base (área+dim+ordem); o sufixo será gerado após preenchimento.</t>
  </si>
  <si>
    <t>5.</t>
  </si>
  <si>
    <t>Se FreqNum = 0 e Unid = d → significa 'o dia inteiro'.</t>
  </si>
  <si>
    <t>6.</t>
  </si>
  <si>
    <t>Use apenas números inteiros (&gt;=0) para Freq/Intervalo/Período.</t>
  </si>
  <si>
    <t>Exemplo de sufixo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</si>
  <si>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</si>
  <si>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</si>
  <si>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</si>
  <si>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</si>
  <si>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</si>
  <si>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</si>
  <si>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</si>
  <si>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</si>
  <si>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</si>
  <si>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</si>
  <si>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</si>
  <si>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</si>
  <si>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</si>
  <si>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</si>
  <si>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</si>
  <si>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</si>
  <si>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</si>
  <si>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</si>
  <si>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</si>
  <si>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</si>
  <si>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</si>
  <si>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</si>
  <si>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</si>
  <si>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CODIGO</t>
  </si>
  <si>
    <t>Peso</t>
  </si>
  <si>
    <t>Básico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</si>
  <si>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</si>
  <si>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</si>
  <si>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</si>
  <si>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</si>
  <si>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</si>
  <si>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</si>
  <si>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</si>
  <si>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</si>
  <si>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Desafio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</si>
  <si>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</si>
  <si>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</si>
  <si>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</si>
  <si>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</si>
  <si>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</si>
  <si>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</si>
  <si>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</si>
  <si>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</si>
  <si>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Avançado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</si>
  <si>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</si>
  <si>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</si>
  <si>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</si>
  <si>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</si>
  <si>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</si>
  <si>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</si>
  <si>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Nota:</t>
  </si>
  <si>
    <t>Preencha G-L; deixe Intervalo em branco se não se aplica.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</si>
  <si>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</si>
  <si>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</si>
  <si>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</si>
  <si>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</si>
  <si>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</si>
  <si>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</si>
  <si>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</si>
  <si>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</si>
  <si>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</si>
  <si>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</si>
  <si>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</si>
  <si>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</si>
  <si>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</si>
  <si>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</si>
  <si>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</si>
  <si>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</si>
  <si>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</si>
  <si>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</si>
  <si>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</si>
  <si>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</si>
  <si>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</si>
  <si>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</si>
  <si>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</si>
  <si>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</si>
  <si>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</si>
  <si>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</si>
  <si>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</si>
  <si>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</si>
  <si>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</si>
  <si>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</si>
  <si>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</si>
  <si>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</si>
  <si>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</si>
  <si>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</si>
  <si>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</si>
  <si>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</si>
  <si>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</si>
  <si>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</si>
  <si>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</si>
  <si>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</si>
  <si>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</si>
  <si>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</si>
  <si>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</si>
  <si>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</si>
  <si>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</si>
  <si>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</si>
  <si>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</si>
  <si>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</si>
  <si>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</si>
  <si>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</si>
  <si>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</si>
  <si>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</si>
  <si>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</si>
  <si>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</si>
  <si>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</si>
  <si>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</si>
  <si>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</si>
  <si>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</si>
  <si>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</si>
  <si>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</si>
  <si>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</si>
  <si>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</si>
  <si>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</si>
  <si>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</si>
  <si>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</si>
  <si>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</si>
  <si>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</si>
  <si>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</si>
  <si>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</si>
  <si>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Mandar uma mensagem positiva para um amigo.</t>
  </si>
  <si>
    <t>Ouvir sem interromper quando um amigo fala.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</si>
  <si>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</si>
  <si>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</si>
  <si>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</si>
  <si>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</si>
  <si>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</si>
  <si>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</si>
  <si>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</si>
  <si>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</si>
  <si>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Apoiar um amigo em um objetivo pessoal com check-ins.</t>
  </si>
  <si>
    <t>Criar um pequeno grupo para leitura/estudo conjunto.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</si>
  <si>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</si>
  <si>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</si>
  <si>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</si>
  <si>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</si>
  <si>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</si>
  <si>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</si>
  <si>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</si>
  <si>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</si>
  <si>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</si>
  <si>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</si>
  <si>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</si>
  <si>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</si>
  <si>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</si>
  <si>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</si>
  <si>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</si>
  <si>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</si>
  <si>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</si>
  <si>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</si>
  <si>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</si>
  <si>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</si>
  <si>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</si>
  <si>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</si>
  <si>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</si>
  <si>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</si>
  <si>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</si>
  <si>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</si>
  <si>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</si>
  <si>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</si>
  <si>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</si>
  <si>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</si>
  <si>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</si>
  <si>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</si>
  <si>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</si>
  <si>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</si>
  <si>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</si>
  <si>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</si>
  <si>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</si>
  <si>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</si>
  <si>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</si>
  <si>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</si>
  <si>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</si>
  <si>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</si>
  <si>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</si>
  <si>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</si>
  <si>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</si>
  <si>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</si>
  <si>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</si>
  <si>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</si>
  <si>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</si>
  <si>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</si>
  <si>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</si>
  <si>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</si>
  <si>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</si>
  <si>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</si>
  <si>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</si>
  <si>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</si>
  <si>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</si>
  <si>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</si>
  <si>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</si>
  <si>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Anotar uma frase marcante do sermão ou estudo.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</si>
  <si>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</si>
  <si>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</si>
  <si>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</si>
  <si>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</si>
  <si>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</si>
  <si>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</si>
  <si>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</si>
  <si>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</si>
  <si>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</si>
  <si>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</si>
  <si>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</si>
  <si>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</si>
  <si>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</si>
  <si>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</si>
  <si>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</si>
  <si>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</si>
  <si>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</si>
  <si>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</si>
  <si>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</si>
  <si>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</si>
  <si>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</si>
  <si>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</si>
  <si>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</si>
  <si>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Treinar e atuar em equipe de recepção/acolhimento.</t>
  </si>
  <si>
    <t>Produzir uma série de 3 posts devocionais.</t>
  </si>
  <si>
    <t>Criar roteiro e conduzir oração de intercessão em cadeia.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</si>
  <si>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</si>
  <si>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</si>
  <si>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</si>
  <si>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</si>
  <si>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</si>
  <si>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Decorar pelo menos 1 verso bíblico ou frase positiva</t>
  </si>
  <si>
    <t>Selecionar música que me eleve espiritualmente.</t>
  </si>
  <si>
    <t>Estabelecer um horário para dormir e cumprir à risca</t>
  </si>
  <si>
    <t>Não deixar nada pendente para o próximo dia</t>
  </si>
  <si>
    <t>Apresentar um seminário curto com slides originais na aula em classe, para colegas ou para os pais.</t>
  </si>
  <si>
    <t>Descrição da Frequência</t>
  </si>
  <si>
    <t>Basico</t>
  </si>
  <si>
    <t>Reduzir açúcar e eliminar refrigerante</t>
  </si>
  <si>
    <t>quant-intervalo</t>
  </si>
  <si>
    <t>unid-intervfalo</t>
  </si>
  <si>
    <t>Ajudar em uma tarefa de casa sem que me peçam. Definir a tarefa.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</si>
  <si>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</si>
  <si>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</si>
  <si>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</si>
  <si>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</si>
  <si>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</si>
  <si>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</si>
  <si>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</si>
  <si>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Agradecer algo específico que alguém da família fez por mim.</t>
  </si>
  <si>
    <t>FaB009-1d7d</t>
  </si>
  <si>
    <t>FaB010-1d7d</t>
  </si>
  <si>
    <t>FaD001-2d7d</t>
  </si>
  <si>
    <t>FaD002-2d7d</t>
  </si>
  <si>
    <t>Conversar sobre como você pode colaborar com as finanças familiares com responsabilidade.</t>
  </si>
  <si>
    <t>FaD003-2d7d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</si>
  <si>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</si>
  <si>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</si>
  <si>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</si>
  <si>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</si>
  <si>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</si>
  <si>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FaD007-2d7d</t>
  </si>
  <si>
    <t>FaD008-2d7d</t>
  </si>
  <si>
    <t>FaD009-2d7d</t>
  </si>
  <si>
    <t>Criar um calendário de aniversários e datas especiais da família.</t>
  </si>
  <si>
    <t>FaD010-2d7d</t>
  </si>
  <si>
    <t>FaD011-2d7d</t>
  </si>
  <si>
    <t>FaD012-2d7d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</si>
  <si>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</si>
  <si>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</si>
  <si>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</si>
  <si>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</si>
  <si>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</si>
  <si>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</si>
  <si>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</si>
  <si>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</si>
  <si>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</si>
  <si>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</si>
  <si>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FaA007-1s2s</t>
  </si>
  <si>
    <t>Organizar um encontro de gerações e registrar histórias, com os pais e/ou avós..</t>
  </si>
  <si>
    <t>FaA008-1s2s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</si>
  <si>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</si>
  <si>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</si>
  <si>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</si>
  <si>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</si>
  <si>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</si>
  <si>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</si>
  <si>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</si>
  <si>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</si>
  <si>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</si>
  <si>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</si>
  <si>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FaA015-1s2s</t>
  </si>
  <si>
    <t>Convidar alguém novo para almoçar,lazer ou estudar junto.</t>
  </si>
  <si>
    <t>Estar atento para evitar fofocas quando se trata de conversas a respeito de outra pessoa</t>
  </si>
  <si>
    <t>Planejar e cumprir um dia sem redes sociais com um amigo.</t>
  </si>
  <si>
    <t>Ler, pelo menos, um verso bíblico curto por dia.</t>
  </si>
  <si>
    <t>Cumprimentar calorosamente alguém da minha igreja que eu não conheço bem.</t>
  </si>
  <si>
    <t>Ajudar na limpeza/arrumação após um programa/culto na igreja</t>
  </si>
  <si>
    <t>Elaborar e cumprir plano de leitura bíblica diário.</t>
  </si>
  <si>
    <t>Servir em ministério infantil por 6 sábados seguidos.</t>
  </si>
  <si>
    <t>2d7d = 2 vezes por dia por 7 dias | 1s2s = 1 vez por semana por 2 semanas | 0d3d = dia inteiro por 3 dias | 0d0d - ficar atento para a primeira oportunidade  | 1d1d - pelo menos uma vez na primeira oportunidade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</si>
</sst>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textRotation="90"/>
    </xf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3" x14ac:dyDescent="0.25">
      <c r="A1" s="1" t="s">
        <v>0</v>
      </c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307</v>
      </c>
    </row>
    <row r="12" spans="1:3" x14ac:dyDescent="0.25">
      <c r="A12" s="1" t="s">
        <v>14</v>
      </c>
      <c r="B12" s="1" t="s">
        <v>15</v>
      </c>
      <c r="C12" s="1" t="s">
        <v>16</v>
      </c>
    </row>
    <row r="13" spans="1:3" x14ac:dyDescent="0.25">
      <c r="A13" t="s">
        <v>17</v>
      </c>
      <c r="B13">
        <v>37</v>
      </c>
      <c r="C13">
        <v>3</v>
      </c>
    </row>
    <row r="14" spans="1:3" x14ac:dyDescent="0.25">
      <c r="A14" t="s">
        <v>18</v>
      </c>
      <c r="B14">
        <v>37</v>
      </c>
      <c r="C14">
        <v>3</v>
      </c>
    </row>
    <row r="15" spans="1:3" x14ac:dyDescent="0.25">
      <c r="A15" t="s">
        <v>19</v>
      </c>
      <c r="B15">
        <v>37</v>
      </c>
      <c r="C15">
        <v>3</v>
      </c>
    </row>
    <row r="16" spans="1:3" x14ac:dyDescent="0.25">
      <c r="A16" t="s">
        <v>20</v>
      </c>
      <c r="B16">
        <v>37</v>
      </c>
      <c r="C16">
        <v>3</v>
      </c>
    </row>
    <row r="17" spans="1:3" x14ac:dyDescent="0.25">
      <c r="A17" t="s">
        <v>21</v>
      </c>
      <c r="B17">
        <v>37</v>
      </c>
      <c r="C17">
        <v>3</v>
      </c>
    </row>
    <row r="18" spans="1:3" x14ac:dyDescent="0.25">
      <c r="A18" t="s">
        <v>22</v>
      </c>
      <c r="B18">
        <v>37</v>
      </c>
      <c r="C1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pane ySplit="1" topLeftCell="A26" activePane="bottomLeft" state="frozen"/>
      <selection pane="bottomLeft" activeCell="C1" sqref="A1:O38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9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5" ht="119.25" x14ac:dyDescent="0.25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8" t="s">
        <v>31</v>
      </c>
      <c r="H1" s="18" t="s">
        <v>32</v>
      </c>
      <c r="I1" s="18" t="s">
        <v>246</v>
      </c>
      <c r="J1" s="18" t="s">
        <v>247</v>
      </c>
      <c r="K1" s="18" t="s">
        <v>35</v>
      </c>
      <c r="L1" s="18" t="s">
        <v>36</v>
      </c>
      <c r="M1" s="12" t="s">
        <v>37</v>
      </c>
      <c r="N1" s="11" t="s">
        <v>38</v>
      </c>
      <c r="O1" s="13" t="s">
        <v>243</v>
      </c>
    </row>
    <row r="2" spans="1:15" x14ac:dyDescent="0.25">
      <c r="A2" s="2" t="s">
        <v>17</v>
      </c>
      <c r="B2" s="2" t="s">
        <v>39</v>
      </c>
      <c r="C2" s="2" t="s">
        <v>40</v>
      </c>
      <c r="D2" s="9">
        <v>1</v>
      </c>
      <c r="E2" s="9">
        <v>1</v>
      </c>
      <c r="F2" s="9">
        <v>1</v>
      </c>
      <c r="G2" s="20">
        <v>1</v>
      </c>
      <c r="H2" s="20" t="s">
        <v>23</v>
      </c>
      <c r="I2" s="20"/>
      <c r="J2" s="20"/>
      <c r="K2" s="20">
        <v>2</v>
      </c>
      <c r="L2" s="20" t="s">
        <v>23</v>
      </c>
      <c r="M2" s="9" t="str">
        <f>LEFT(A2,2)&amp;LEFT(B2,1)&amp;TEXT(F2,"000")&amp;"-"&amp;(G2)&amp;H2&amp;(K2)&amp;L2</f>
        <v>FaB001-1d2d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</row>
    <row r="3" spans="1:15" x14ac:dyDescent="0.25">
      <c r="A3" s="2" t="s">
        <v>17</v>
      </c>
      <c r="B3" s="2" t="s">
        <v>39</v>
      </c>
      <c r="C3" s="2" t="s">
        <v>248</v>
      </c>
      <c r="D3" s="9">
        <v>1</v>
      </c>
      <c r="E3" s="9">
        <v>1</v>
      </c>
      <c r="F3" s="9">
        <v>2</v>
      </c>
      <c r="G3" s="20">
        <v>1</v>
      </c>
      <c r="H3" s="20" t="s">
        <v>23</v>
      </c>
      <c r="I3" s="20"/>
      <c r="J3" s="20"/>
      <c r="K3" s="20">
        <v>3</v>
      </c>
      <c r="L3" s="20" t="s">
        <v>23</v>
      </c>
      <c r="M3" s="9" t="s">
        <v>249</v>
      </c>
      <c r="N3" s="9">
        <f t="shared" ref="N3:N38" si="0">IF(B3="Básico",1,IF(B3="Desafio",2,IF(B3="Avançado",3)))</f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</row>
    <row r="4" spans="1:15" x14ac:dyDescent="0.25">
      <c r="A4" s="2" t="s">
        <v>17</v>
      </c>
      <c r="B4" s="2" t="s">
        <v>39</v>
      </c>
      <c r="C4" s="2" t="s">
        <v>41</v>
      </c>
      <c r="D4" s="9">
        <v>1</v>
      </c>
      <c r="E4" s="9">
        <v>1</v>
      </c>
      <c r="F4" s="9">
        <v>3</v>
      </c>
      <c r="G4" s="20">
        <v>1</v>
      </c>
      <c r="H4" s="20" t="s">
        <v>23</v>
      </c>
      <c r="I4" s="20"/>
      <c r="J4" s="20"/>
      <c r="K4" s="20">
        <v>2</v>
      </c>
      <c r="L4" s="20" t="s">
        <v>23</v>
      </c>
      <c r="M4" s="9" t="s">
        <v>250</v>
      </c>
      <c r="N4" s="9">
        <f t="shared" si="0"/>
        <v>1</v>
      </c>
      <c r="O4" s="2" t="str">
        <f t="shared" si="1"/>
        <v>Uma vez por dia por um período de 2 dias</v>
      </c>
    </row>
    <row r="5" spans="1:15" x14ac:dyDescent="0.25">
      <c r="A5" s="2" t="s">
        <v>17</v>
      </c>
      <c r="B5" s="2" t="s">
        <v>39</v>
      </c>
      <c r="C5" s="2" t="s">
        <v>42</v>
      </c>
      <c r="D5" s="9">
        <v>1</v>
      </c>
      <c r="E5" s="9">
        <v>1</v>
      </c>
      <c r="F5" s="9">
        <v>4</v>
      </c>
      <c r="G5" s="20">
        <v>2</v>
      </c>
      <c r="H5" s="20" t="s">
        <v>23</v>
      </c>
      <c r="I5" s="20"/>
      <c r="J5" s="20"/>
      <c r="K5" s="20">
        <v>4</v>
      </c>
      <c r="L5" s="20" t="s">
        <v>23</v>
      </c>
      <c r="M5" s="9" t="s">
        <v>251</v>
      </c>
      <c r="N5" s="9">
        <f t="shared" si="0"/>
        <v>1</v>
      </c>
      <c r="O5" s="2" t="str">
        <f t="shared" si="1"/>
        <v>2 vezes por dia por um período de 4 dias</v>
      </c>
    </row>
    <row r="6" spans="1:15" x14ac:dyDescent="0.25">
      <c r="A6" s="2" t="s">
        <v>17</v>
      </c>
      <c r="B6" s="2" t="s">
        <v>39</v>
      </c>
      <c r="C6" s="2" t="s">
        <v>43</v>
      </c>
      <c r="D6" s="9">
        <v>1</v>
      </c>
      <c r="E6" s="9">
        <v>1</v>
      </c>
      <c r="F6" s="9">
        <v>5</v>
      </c>
      <c r="G6" s="20">
        <v>0</v>
      </c>
      <c r="H6" s="20" t="s">
        <v>23</v>
      </c>
      <c r="I6" s="20"/>
      <c r="J6" s="20"/>
      <c r="K6" s="20">
        <v>7</v>
      </c>
      <c r="L6" s="20" t="s">
        <v>23</v>
      </c>
      <c r="M6" s="9" t="s">
        <v>252</v>
      </c>
      <c r="N6" s="9">
        <f t="shared" si="0"/>
        <v>1</v>
      </c>
      <c r="O6" s="2" t="str">
        <f t="shared" si="1"/>
        <v>O dia inteiro por um período de 7 dias</v>
      </c>
    </row>
    <row r="7" spans="1:15" x14ac:dyDescent="0.25">
      <c r="A7" s="2" t="s">
        <v>17</v>
      </c>
      <c r="B7" s="2" t="s">
        <v>39</v>
      </c>
      <c r="C7" s="2" t="s">
        <v>44</v>
      </c>
      <c r="D7" s="9">
        <v>1</v>
      </c>
      <c r="E7" s="9">
        <v>1</v>
      </c>
      <c r="F7" s="9">
        <v>6</v>
      </c>
      <c r="G7" s="20">
        <v>1</v>
      </c>
      <c r="H7" s="20" t="s">
        <v>23</v>
      </c>
      <c r="I7" s="20">
        <v>2</v>
      </c>
      <c r="J7" s="20" t="s">
        <v>23</v>
      </c>
      <c r="K7" s="20">
        <v>7</v>
      </c>
      <c r="L7" s="20" t="s">
        <v>23</v>
      </c>
      <c r="M7" s="9" t="s">
        <v>253</v>
      </c>
      <c r="N7" s="9">
        <f t="shared" si="0"/>
        <v>1</v>
      </c>
      <c r="O7" s="2" t="str">
        <f t="shared" si="1"/>
        <v>Uma vez por dia, a cada 2 dias, por um período de 7 dias</v>
      </c>
    </row>
    <row r="8" spans="1:15" x14ac:dyDescent="0.25">
      <c r="A8" s="2" t="s">
        <v>17</v>
      </c>
      <c r="B8" s="2" t="s">
        <v>39</v>
      </c>
      <c r="C8" s="2" t="s">
        <v>45</v>
      </c>
      <c r="D8" s="9">
        <v>1</v>
      </c>
      <c r="E8" s="9">
        <v>1</v>
      </c>
      <c r="F8" s="9">
        <v>7</v>
      </c>
      <c r="G8" s="20">
        <v>1</v>
      </c>
      <c r="H8" s="20" t="s">
        <v>23</v>
      </c>
      <c r="I8" s="20">
        <v>3</v>
      </c>
      <c r="J8" s="20" t="s">
        <v>23</v>
      </c>
      <c r="K8" s="20">
        <v>6</v>
      </c>
      <c r="L8" s="20" t="s">
        <v>23</v>
      </c>
      <c r="M8" s="9" t="s">
        <v>254</v>
      </c>
      <c r="N8" s="9">
        <f t="shared" si="0"/>
        <v>1</v>
      </c>
      <c r="O8" s="2" t="str">
        <f t="shared" si="1"/>
        <v>Uma vez por dia, a cada 3 dias, por um período de 6 dias</v>
      </c>
    </row>
    <row r="9" spans="1:15" x14ac:dyDescent="0.25">
      <c r="A9" s="2" t="s">
        <v>17</v>
      </c>
      <c r="B9" s="2" t="s">
        <v>39</v>
      </c>
      <c r="C9" s="2" t="s">
        <v>46</v>
      </c>
      <c r="D9" s="9">
        <v>1</v>
      </c>
      <c r="E9" s="9">
        <v>1</v>
      </c>
      <c r="F9" s="9">
        <v>8</v>
      </c>
      <c r="G9" s="20">
        <v>1</v>
      </c>
      <c r="H9" s="20" t="s">
        <v>23</v>
      </c>
      <c r="I9" s="20"/>
      <c r="J9" s="20"/>
      <c r="K9" s="20">
        <v>7</v>
      </c>
      <c r="L9" s="20" t="s">
        <v>23</v>
      </c>
      <c r="M9" s="9" t="s">
        <v>255</v>
      </c>
      <c r="N9" s="9">
        <f t="shared" si="0"/>
        <v>1</v>
      </c>
      <c r="O9" s="2" t="str">
        <f t="shared" si="1"/>
        <v>Uma vez por dia por um período de 7 dias</v>
      </c>
    </row>
    <row r="10" spans="1:15" x14ac:dyDescent="0.25">
      <c r="A10" s="2" t="s">
        <v>17</v>
      </c>
      <c r="B10" s="2" t="s">
        <v>39</v>
      </c>
      <c r="C10" s="2" t="s">
        <v>256</v>
      </c>
      <c r="D10" s="9">
        <v>1</v>
      </c>
      <c r="E10" s="9">
        <v>1</v>
      </c>
      <c r="F10" s="9">
        <v>9</v>
      </c>
      <c r="G10" s="20">
        <v>1</v>
      </c>
      <c r="H10" s="20" t="s">
        <v>23</v>
      </c>
      <c r="I10" s="20">
        <v>2</v>
      </c>
      <c r="J10" s="20" t="s">
        <v>23</v>
      </c>
      <c r="K10" s="20">
        <v>6</v>
      </c>
      <c r="L10" s="20" t="s">
        <v>23</v>
      </c>
      <c r="M10" s="9" t="s">
        <v>257</v>
      </c>
      <c r="N10" s="9">
        <f t="shared" si="0"/>
        <v>1</v>
      </c>
      <c r="O10" s="2" t="str">
        <f t="shared" si="1"/>
        <v>Uma vez por dia, a cada 2 dias, por um período de 6 dias</v>
      </c>
    </row>
    <row r="11" spans="1:15" x14ac:dyDescent="0.25">
      <c r="A11" s="2" t="s">
        <v>17</v>
      </c>
      <c r="B11" s="2" t="s">
        <v>39</v>
      </c>
      <c r="C11" s="2" t="s">
        <v>47</v>
      </c>
      <c r="D11" s="9">
        <v>1</v>
      </c>
      <c r="E11" s="9">
        <v>1</v>
      </c>
      <c r="F11" s="9">
        <v>10</v>
      </c>
      <c r="G11" s="20">
        <v>1</v>
      </c>
      <c r="H11" s="20" t="s">
        <v>23</v>
      </c>
      <c r="I11" s="20">
        <v>3</v>
      </c>
      <c r="J11" s="20" t="s">
        <v>23</v>
      </c>
      <c r="K11" s="20">
        <v>6</v>
      </c>
      <c r="L11" s="20" t="s">
        <v>23</v>
      </c>
      <c r="M11" s="9" t="s">
        <v>258</v>
      </c>
      <c r="N11" s="9">
        <f t="shared" si="0"/>
        <v>1</v>
      </c>
      <c r="O11" s="2" t="str">
        <f t="shared" si="1"/>
        <v>Uma vez por dia, a cada 3 dias, por um período de 6 dias</v>
      </c>
    </row>
    <row r="12" spans="1:15" x14ac:dyDescent="0.25">
      <c r="A12" s="2" t="s">
        <v>17</v>
      </c>
      <c r="B12" s="2" t="s">
        <v>48</v>
      </c>
      <c r="C12" s="2" t="s">
        <v>49</v>
      </c>
      <c r="D12" s="9">
        <v>1</v>
      </c>
      <c r="E12" s="9">
        <v>2</v>
      </c>
      <c r="F12" s="9">
        <v>1</v>
      </c>
      <c r="G12" s="20">
        <v>1</v>
      </c>
      <c r="H12" s="20" t="s">
        <v>23</v>
      </c>
      <c r="I12" s="20"/>
      <c r="J12" s="20"/>
      <c r="K12" s="20">
        <v>1</v>
      </c>
      <c r="L12" s="20" t="s">
        <v>23</v>
      </c>
      <c r="M12" s="9" t="s">
        <v>259</v>
      </c>
      <c r="N12" s="9">
        <f t="shared" si="0"/>
        <v>2</v>
      </c>
      <c r="O12" s="2" t="str">
        <f t="shared" si="1"/>
        <v>Pelo menos uma vez</v>
      </c>
    </row>
    <row r="13" spans="1:15" x14ac:dyDescent="0.25">
      <c r="A13" s="2" t="s">
        <v>17</v>
      </c>
      <c r="B13" s="2" t="s">
        <v>48</v>
      </c>
      <c r="C13" s="2" t="s">
        <v>50</v>
      </c>
      <c r="D13" s="9">
        <v>1</v>
      </c>
      <c r="E13" s="9">
        <v>2</v>
      </c>
      <c r="F13" s="9">
        <v>2</v>
      </c>
      <c r="G13" s="20">
        <v>1</v>
      </c>
      <c r="H13" s="20" t="s">
        <v>24</v>
      </c>
      <c r="I13" s="20"/>
      <c r="J13" s="20"/>
      <c r="K13" s="20">
        <v>2</v>
      </c>
      <c r="L13" s="20" t="s">
        <v>24</v>
      </c>
      <c r="M13" s="9" t="s">
        <v>260</v>
      </c>
      <c r="N13" s="9">
        <f t="shared" si="0"/>
        <v>2</v>
      </c>
      <c r="O13" s="2" t="str">
        <f t="shared" si="1"/>
        <v>Uma vez por semana por um período de 2 semanas</v>
      </c>
    </row>
    <row r="14" spans="1:15" x14ac:dyDescent="0.25">
      <c r="A14" s="2" t="s">
        <v>17</v>
      </c>
      <c r="B14" s="2" t="s">
        <v>48</v>
      </c>
      <c r="C14" s="2" t="s">
        <v>261</v>
      </c>
      <c r="D14" s="9">
        <v>1</v>
      </c>
      <c r="E14" s="9">
        <v>2</v>
      </c>
      <c r="F14" s="9">
        <v>3</v>
      </c>
      <c r="G14" s="20">
        <v>1</v>
      </c>
      <c r="H14" s="20" t="s">
        <v>24</v>
      </c>
      <c r="I14" s="20"/>
      <c r="J14" s="20"/>
      <c r="K14" s="20">
        <v>1</v>
      </c>
      <c r="L14" s="20" t="s">
        <v>24</v>
      </c>
      <c r="M14" s="9" t="s">
        <v>262</v>
      </c>
      <c r="N14" s="9">
        <f t="shared" si="0"/>
        <v>2</v>
      </c>
      <c r="O14" s="2" t="str">
        <f t="shared" si="1"/>
        <v>Uma vez por semana por um período de 1 semana</v>
      </c>
    </row>
    <row r="15" spans="1:15" x14ac:dyDescent="0.25">
      <c r="A15" s="2" t="s">
        <v>17</v>
      </c>
      <c r="B15" s="2" t="s">
        <v>48</v>
      </c>
      <c r="C15" s="2" t="s">
        <v>51</v>
      </c>
      <c r="D15" s="9">
        <v>1</v>
      </c>
      <c r="E15" s="9">
        <v>2</v>
      </c>
      <c r="F15" s="9">
        <v>4</v>
      </c>
      <c r="G15" s="20">
        <v>1</v>
      </c>
      <c r="H15" s="20" t="s">
        <v>23</v>
      </c>
      <c r="I15" s="20"/>
      <c r="J15" s="20"/>
      <c r="K15" s="20">
        <v>2</v>
      </c>
      <c r="L15" s="20" t="s">
        <v>23</v>
      </c>
      <c r="M15" s="9" t="s">
        <v>263</v>
      </c>
      <c r="N15" s="9">
        <f t="shared" si="0"/>
        <v>2</v>
      </c>
      <c r="O15" s="2" t="str">
        <f t="shared" si="1"/>
        <v>Uma vez por dia por um período de 2 dias</v>
      </c>
    </row>
    <row r="16" spans="1:15" x14ac:dyDescent="0.25">
      <c r="A16" s="2" t="s">
        <v>17</v>
      </c>
      <c r="B16" s="2" t="s">
        <v>48</v>
      </c>
      <c r="C16" s="2" t="s">
        <v>264</v>
      </c>
      <c r="D16" s="9">
        <v>1</v>
      </c>
      <c r="E16" s="9">
        <v>2</v>
      </c>
      <c r="F16" s="9">
        <v>5</v>
      </c>
      <c r="G16" s="20">
        <v>1</v>
      </c>
      <c r="H16" s="20" t="s">
        <v>23</v>
      </c>
      <c r="I16" s="20"/>
      <c r="J16" s="20"/>
      <c r="K16" s="20">
        <v>1</v>
      </c>
      <c r="L16" s="20" t="s">
        <v>24</v>
      </c>
      <c r="M16" s="9" t="s">
        <v>265</v>
      </c>
      <c r="N16" s="9">
        <f t="shared" si="0"/>
        <v>2</v>
      </c>
      <c r="O16" s="2" t="str">
        <f t="shared" si="1"/>
        <v>Uma vez por dia por um período de 1 semana</v>
      </c>
    </row>
    <row r="17" spans="1:15" x14ac:dyDescent="0.25">
      <c r="A17" s="2" t="s">
        <v>17</v>
      </c>
      <c r="B17" s="2" t="s">
        <v>48</v>
      </c>
      <c r="C17" s="2" t="s">
        <v>266</v>
      </c>
      <c r="D17" s="9">
        <v>1</v>
      </c>
      <c r="E17" s="9">
        <v>2</v>
      </c>
      <c r="F17" s="9">
        <v>6</v>
      </c>
      <c r="G17" s="20">
        <v>1</v>
      </c>
      <c r="H17" s="20" t="s">
        <v>23</v>
      </c>
      <c r="I17" s="20"/>
      <c r="J17" s="20"/>
      <c r="K17" s="20">
        <v>7</v>
      </c>
      <c r="L17" s="20" t="s">
        <v>23</v>
      </c>
      <c r="M17" s="9" t="s">
        <v>267</v>
      </c>
      <c r="N17" s="9">
        <f t="shared" si="0"/>
        <v>2</v>
      </c>
      <c r="O17" s="2" t="str">
        <f t="shared" si="1"/>
        <v>Uma vez por dia por um período de 7 dias</v>
      </c>
    </row>
    <row r="18" spans="1:15" x14ac:dyDescent="0.25">
      <c r="A18" s="2" t="s">
        <v>17</v>
      </c>
      <c r="B18" s="2" t="s">
        <v>48</v>
      </c>
      <c r="C18" s="2" t="s">
        <v>52</v>
      </c>
      <c r="D18" s="9">
        <v>1</v>
      </c>
      <c r="E18" s="9">
        <v>2</v>
      </c>
      <c r="F18" s="9">
        <v>7</v>
      </c>
      <c r="G18" s="20">
        <v>1</v>
      </c>
      <c r="H18" s="20" t="s">
        <v>23</v>
      </c>
      <c r="I18" s="20">
        <v>3</v>
      </c>
      <c r="J18" s="20" t="s">
        <v>23</v>
      </c>
      <c r="K18" s="20">
        <v>2</v>
      </c>
      <c r="L18" s="20" t="s">
        <v>24</v>
      </c>
      <c r="M18" s="9" t="s">
        <v>268</v>
      </c>
      <c r="N18" s="9">
        <f t="shared" si="0"/>
        <v>2</v>
      </c>
      <c r="O18" s="2" t="str">
        <f t="shared" si="1"/>
        <v>Uma vez por dia, a cada 3 dias, por um período de 2 semanas</v>
      </c>
    </row>
    <row r="19" spans="1:15" x14ac:dyDescent="0.25">
      <c r="A19" s="2" t="s">
        <v>17</v>
      </c>
      <c r="B19" s="2" t="s">
        <v>48</v>
      </c>
      <c r="C19" s="2" t="s">
        <v>53</v>
      </c>
      <c r="D19" s="9">
        <v>1</v>
      </c>
      <c r="E19" s="9">
        <v>2</v>
      </c>
      <c r="F19" s="9">
        <v>8</v>
      </c>
      <c r="G19" s="20">
        <v>1</v>
      </c>
      <c r="H19" s="20" t="s">
        <v>23</v>
      </c>
      <c r="I19" s="20"/>
      <c r="J19" s="20"/>
      <c r="K19" s="20">
        <v>1</v>
      </c>
      <c r="L19" s="20" t="s">
        <v>23</v>
      </c>
      <c r="M19" s="9" t="s">
        <v>269</v>
      </c>
      <c r="N19" s="9">
        <f t="shared" si="0"/>
        <v>2</v>
      </c>
      <c r="O19" s="2" t="str">
        <f t="shared" si="1"/>
        <v>Pelo menos uma vez</v>
      </c>
    </row>
    <row r="20" spans="1:15" x14ac:dyDescent="0.25">
      <c r="A20" s="2" t="s">
        <v>17</v>
      </c>
      <c r="B20" s="2" t="s">
        <v>48</v>
      </c>
      <c r="C20" s="2" t="s">
        <v>54</v>
      </c>
      <c r="D20" s="9">
        <v>1</v>
      </c>
      <c r="E20" s="9">
        <v>2</v>
      </c>
      <c r="F20" s="9">
        <v>9</v>
      </c>
      <c r="G20" s="20">
        <v>1</v>
      </c>
      <c r="H20" s="20" t="s">
        <v>23</v>
      </c>
      <c r="I20" s="20"/>
      <c r="J20" s="20"/>
      <c r="K20" s="20">
        <v>7</v>
      </c>
      <c r="L20" s="20" t="s">
        <v>23</v>
      </c>
      <c r="M20" s="9" t="s">
        <v>270</v>
      </c>
      <c r="N20" s="9">
        <f t="shared" si="0"/>
        <v>2</v>
      </c>
      <c r="O20" s="2" t="str">
        <f t="shared" si="1"/>
        <v>Uma vez por dia por um período de 7 dias</v>
      </c>
    </row>
    <row r="21" spans="1:15" x14ac:dyDescent="0.25">
      <c r="A21" s="2" t="s">
        <v>17</v>
      </c>
      <c r="B21" s="2" t="s">
        <v>48</v>
      </c>
      <c r="C21" s="2" t="s">
        <v>271</v>
      </c>
      <c r="D21" s="9">
        <v>1</v>
      </c>
      <c r="E21" s="9">
        <v>2</v>
      </c>
      <c r="F21" s="9">
        <v>10</v>
      </c>
      <c r="G21" s="20">
        <v>1</v>
      </c>
      <c r="H21" s="20" t="s">
        <v>23</v>
      </c>
      <c r="I21" s="20"/>
      <c r="J21" s="20"/>
      <c r="K21" s="20">
        <v>1</v>
      </c>
      <c r="L21" s="20" t="s">
        <v>23</v>
      </c>
      <c r="M21" s="9" t="s">
        <v>272</v>
      </c>
      <c r="N21" s="9">
        <f t="shared" si="0"/>
        <v>2</v>
      </c>
      <c r="O21" s="2" t="str">
        <f t="shared" si="1"/>
        <v>Pelo menos uma vez</v>
      </c>
    </row>
    <row r="22" spans="1:15" x14ac:dyDescent="0.25">
      <c r="A22" s="2" t="s">
        <v>17</v>
      </c>
      <c r="B22" s="2" t="s">
        <v>48</v>
      </c>
      <c r="C22" s="2" t="s">
        <v>55</v>
      </c>
      <c r="D22" s="9">
        <v>1</v>
      </c>
      <c r="E22" s="9">
        <v>2</v>
      </c>
      <c r="F22" s="9">
        <v>11</v>
      </c>
      <c r="G22" s="20">
        <v>1</v>
      </c>
      <c r="H22" s="20" t="s">
        <v>23</v>
      </c>
      <c r="I22" s="20">
        <v>1</v>
      </c>
      <c r="J22" s="20" t="s">
        <v>23</v>
      </c>
      <c r="K22" s="20">
        <v>7</v>
      </c>
      <c r="L22" s="20" t="s">
        <v>23</v>
      </c>
      <c r="M22" s="9" t="s">
        <v>273</v>
      </c>
      <c r="N22" s="9">
        <f t="shared" si="0"/>
        <v>2</v>
      </c>
      <c r="O22" s="2" t="str">
        <f t="shared" si="1"/>
        <v>Uma vez por dia, a cada 1 dia, por um período de 7 dias</v>
      </c>
    </row>
    <row r="23" spans="1:15" x14ac:dyDescent="0.25">
      <c r="A23" s="2" t="s">
        <v>17</v>
      </c>
      <c r="B23" s="2" t="s">
        <v>48</v>
      </c>
      <c r="C23" s="2" t="s">
        <v>56</v>
      </c>
      <c r="D23" s="9">
        <v>1</v>
      </c>
      <c r="E23" s="9">
        <v>2</v>
      </c>
      <c r="F23" s="9">
        <v>12</v>
      </c>
      <c r="G23" s="20">
        <v>1</v>
      </c>
      <c r="H23" s="20" t="s">
        <v>23</v>
      </c>
      <c r="I23" s="20"/>
      <c r="J23" s="20"/>
      <c r="K23" s="20">
        <v>7</v>
      </c>
      <c r="L23" s="20" t="s">
        <v>23</v>
      </c>
      <c r="M23" s="9" t="s">
        <v>274</v>
      </c>
      <c r="N23" s="9">
        <f t="shared" si="0"/>
        <v>2</v>
      </c>
      <c r="O23" s="2" t="str">
        <f t="shared" si="1"/>
        <v>Uma vez por dia por um período de 7 dias</v>
      </c>
    </row>
    <row r="24" spans="1:15" x14ac:dyDescent="0.25">
      <c r="A24" s="2" t="s">
        <v>17</v>
      </c>
      <c r="B24" s="2" t="s">
        <v>57</v>
      </c>
      <c r="C24" s="2" t="s">
        <v>58</v>
      </c>
      <c r="D24" s="9">
        <v>1</v>
      </c>
      <c r="E24" s="9">
        <v>3</v>
      </c>
      <c r="F24" s="9">
        <v>1</v>
      </c>
      <c r="G24" s="20">
        <v>1</v>
      </c>
      <c r="H24" s="20" t="s">
        <v>24</v>
      </c>
      <c r="I24" s="20"/>
      <c r="J24" s="20"/>
      <c r="K24" s="20">
        <v>2</v>
      </c>
      <c r="L24" s="20" t="s">
        <v>24</v>
      </c>
      <c r="M24" s="9" t="s">
        <v>275</v>
      </c>
      <c r="N24" s="9">
        <f t="shared" si="0"/>
        <v>3</v>
      </c>
      <c r="O24" s="2" t="str">
        <f t="shared" si="1"/>
        <v>Uma vez por semana por um período de 2 semanas</v>
      </c>
    </row>
    <row r="25" spans="1:15" x14ac:dyDescent="0.25">
      <c r="A25" s="2" t="s">
        <v>17</v>
      </c>
      <c r="B25" s="2" t="s">
        <v>57</v>
      </c>
      <c r="C25" s="2" t="s">
        <v>276</v>
      </c>
      <c r="D25" s="9">
        <v>1</v>
      </c>
      <c r="E25" s="9">
        <v>3</v>
      </c>
      <c r="F25" s="9">
        <v>2</v>
      </c>
      <c r="G25" s="20">
        <v>1</v>
      </c>
      <c r="H25" s="20" t="s">
        <v>24</v>
      </c>
      <c r="I25" s="20"/>
      <c r="J25" s="20"/>
      <c r="K25" s="20">
        <v>4</v>
      </c>
      <c r="L25" s="20" t="s">
        <v>24</v>
      </c>
      <c r="M25" s="9" t="s">
        <v>277</v>
      </c>
      <c r="N25" s="9">
        <f t="shared" si="0"/>
        <v>3</v>
      </c>
      <c r="O25" s="2" t="str">
        <f t="shared" si="1"/>
        <v>Uma vez por semana por um período de 4 semanas</v>
      </c>
    </row>
    <row r="26" spans="1:15" x14ac:dyDescent="0.25">
      <c r="A26" s="2" t="s">
        <v>17</v>
      </c>
      <c r="B26" s="2" t="s">
        <v>57</v>
      </c>
      <c r="C26" s="2" t="s">
        <v>278</v>
      </c>
      <c r="D26" s="9">
        <v>1</v>
      </c>
      <c r="E26" s="9">
        <v>3</v>
      </c>
      <c r="F26" s="9">
        <v>3</v>
      </c>
      <c r="G26" s="20">
        <v>1</v>
      </c>
      <c r="H26" s="20" t="s">
        <v>24</v>
      </c>
      <c r="I26" s="20"/>
      <c r="J26" s="20"/>
      <c r="K26" s="20">
        <v>2</v>
      </c>
      <c r="L26" s="20" t="s">
        <v>24</v>
      </c>
      <c r="M26" s="9" t="s">
        <v>279</v>
      </c>
      <c r="N26" s="9">
        <f t="shared" si="0"/>
        <v>3</v>
      </c>
      <c r="O26" s="2" t="str">
        <f t="shared" si="1"/>
        <v>Uma vez por semana por um período de 2 semanas</v>
      </c>
    </row>
    <row r="27" spans="1:15" x14ac:dyDescent="0.25">
      <c r="A27" s="2" t="s">
        <v>17</v>
      </c>
      <c r="B27" s="2" t="s">
        <v>57</v>
      </c>
      <c r="C27" s="2" t="s">
        <v>59</v>
      </c>
      <c r="D27" s="9">
        <v>1</v>
      </c>
      <c r="E27" s="9">
        <v>3</v>
      </c>
      <c r="F27" s="9">
        <v>4</v>
      </c>
      <c r="G27" s="20">
        <v>1</v>
      </c>
      <c r="H27" s="20" t="s">
        <v>24</v>
      </c>
      <c r="I27" s="20"/>
      <c r="J27" s="20"/>
      <c r="K27" s="20">
        <v>4</v>
      </c>
      <c r="L27" s="20" t="s">
        <v>24</v>
      </c>
      <c r="M27" s="9" t="s">
        <v>280</v>
      </c>
      <c r="N27" s="9">
        <f t="shared" si="0"/>
        <v>3</v>
      </c>
      <c r="O27" s="2" t="str">
        <f t="shared" si="1"/>
        <v>Uma vez por semana por um período de 4 semanas</v>
      </c>
    </row>
    <row r="28" spans="1:15" x14ac:dyDescent="0.25">
      <c r="A28" s="2" t="s">
        <v>17</v>
      </c>
      <c r="B28" s="2" t="s">
        <v>57</v>
      </c>
      <c r="C28" s="2" t="s">
        <v>281</v>
      </c>
      <c r="D28" s="9">
        <v>1</v>
      </c>
      <c r="E28" s="9">
        <v>3</v>
      </c>
      <c r="F28" s="9">
        <v>5</v>
      </c>
      <c r="G28" s="20">
        <v>1</v>
      </c>
      <c r="H28" s="20" t="s">
        <v>24</v>
      </c>
      <c r="I28" s="20"/>
      <c r="J28" s="20"/>
      <c r="K28" s="20">
        <v>3</v>
      </c>
      <c r="L28" s="20" t="s">
        <v>24</v>
      </c>
      <c r="M28" s="9" t="s">
        <v>282</v>
      </c>
      <c r="N28" s="9">
        <f t="shared" si="0"/>
        <v>3</v>
      </c>
      <c r="O28" s="2" t="str">
        <f t="shared" si="1"/>
        <v>Uma vez por semana por um período de 3 semanas</v>
      </c>
    </row>
    <row r="29" spans="1:15" x14ac:dyDescent="0.25">
      <c r="A29" s="2" t="s">
        <v>17</v>
      </c>
      <c r="B29" s="2" t="s">
        <v>57</v>
      </c>
      <c r="C29" s="2" t="s">
        <v>283</v>
      </c>
      <c r="D29" s="9">
        <v>1</v>
      </c>
      <c r="E29" s="9">
        <v>3</v>
      </c>
      <c r="F29" s="9">
        <v>6</v>
      </c>
      <c r="G29" s="20">
        <v>1</v>
      </c>
      <c r="H29" s="20" t="s">
        <v>24</v>
      </c>
      <c r="I29" s="20"/>
      <c r="J29" s="20"/>
      <c r="K29" s="20">
        <v>3</v>
      </c>
      <c r="L29" s="20" t="s">
        <v>24</v>
      </c>
      <c r="M29" s="9" t="s">
        <v>284</v>
      </c>
      <c r="N29" s="9">
        <f t="shared" si="0"/>
        <v>3</v>
      </c>
      <c r="O29" s="2" t="str">
        <f t="shared" si="1"/>
        <v>Uma vez por semana por um período de 3 semanas</v>
      </c>
    </row>
    <row r="30" spans="1:15" x14ac:dyDescent="0.25">
      <c r="A30" s="2" t="s">
        <v>17</v>
      </c>
      <c r="B30" s="2" t="s">
        <v>57</v>
      </c>
      <c r="C30" s="2" t="s">
        <v>60</v>
      </c>
      <c r="D30" s="9">
        <v>1</v>
      </c>
      <c r="E30" s="9">
        <v>3</v>
      </c>
      <c r="F30" s="9">
        <v>7</v>
      </c>
      <c r="G30" s="20">
        <v>1</v>
      </c>
      <c r="H30" s="20" t="s">
        <v>24</v>
      </c>
      <c r="I30" s="20"/>
      <c r="J30" s="20"/>
      <c r="K30" s="20">
        <v>1</v>
      </c>
      <c r="L30" s="20" t="s">
        <v>24</v>
      </c>
      <c r="M30" s="9" t="s">
        <v>285</v>
      </c>
      <c r="N30" s="9">
        <f t="shared" si="0"/>
        <v>3</v>
      </c>
      <c r="O30" s="2" t="str">
        <f t="shared" si="1"/>
        <v>Uma vez por semana por um período de 1 semana</v>
      </c>
    </row>
    <row r="31" spans="1:15" x14ac:dyDescent="0.25">
      <c r="A31" s="2" t="s">
        <v>17</v>
      </c>
      <c r="B31" s="2" t="s">
        <v>57</v>
      </c>
      <c r="C31" s="2" t="s">
        <v>286</v>
      </c>
      <c r="D31" s="9">
        <v>1</v>
      </c>
      <c r="E31" s="9">
        <v>3</v>
      </c>
      <c r="F31" s="9">
        <v>8</v>
      </c>
      <c r="G31" s="20">
        <v>1</v>
      </c>
      <c r="H31" s="20" t="s">
        <v>24</v>
      </c>
      <c r="I31" s="20"/>
      <c r="J31" s="20"/>
      <c r="K31" s="20">
        <v>2</v>
      </c>
      <c r="L31" s="20" t="s">
        <v>24</v>
      </c>
      <c r="M31" s="9" t="s">
        <v>287</v>
      </c>
      <c r="N31" s="9">
        <f t="shared" si="0"/>
        <v>3</v>
      </c>
      <c r="O31" s="2" t="str">
        <f t="shared" si="1"/>
        <v>Uma vez por semana por um período de 2 semanas</v>
      </c>
    </row>
    <row r="32" spans="1:15" x14ac:dyDescent="0.25">
      <c r="A32" s="2" t="s">
        <v>17</v>
      </c>
      <c r="B32" s="2" t="s">
        <v>57</v>
      </c>
      <c r="C32" s="2" t="s">
        <v>61</v>
      </c>
      <c r="D32" s="9">
        <v>1</v>
      </c>
      <c r="E32" s="9">
        <v>3</v>
      </c>
      <c r="F32" s="9">
        <v>9</v>
      </c>
      <c r="G32" s="20">
        <v>1</v>
      </c>
      <c r="H32" s="20" t="s">
        <v>24</v>
      </c>
      <c r="I32" s="20"/>
      <c r="J32" s="20"/>
      <c r="K32" s="20">
        <v>4</v>
      </c>
      <c r="L32" s="20" t="s">
        <v>24</v>
      </c>
      <c r="M32" s="9" t="s">
        <v>288</v>
      </c>
      <c r="N32" s="9">
        <f t="shared" si="0"/>
        <v>3</v>
      </c>
      <c r="O32" s="2" t="str">
        <f t="shared" si="1"/>
        <v>Uma vez por semana por um período de 4 semanas</v>
      </c>
    </row>
    <row r="33" spans="1:15" x14ac:dyDescent="0.25">
      <c r="A33" s="2" t="s">
        <v>17</v>
      </c>
      <c r="B33" s="2" t="s">
        <v>57</v>
      </c>
      <c r="C33" s="2" t="s">
        <v>289</v>
      </c>
      <c r="D33" s="9">
        <v>1</v>
      </c>
      <c r="E33" s="9">
        <v>3</v>
      </c>
      <c r="F33" s="9">
        <v>10</v>
      </c>
      <c r="G33" s="20">
        <v>1</v>
      </c>
      <c r="H33" s="20" t="s">
        <v>24</v>
      </c>
      <c r="I33" s="20"/>
      <c r="J33" s="20"/>
      <c r="K33" s="20">
        <v>4</v>
      </c>
      <c r="L33" s="20" t="s">
        <v>24</v>
      </c>
      <c r="M33" s="9" t="s">
        <v>290</v>
      </c>
      <c r="N33" s="9">
        <f t="shared" si="0"/>
        <v>3</v>
      </c>
      <c r="O33" s="2" t="str">
        <f t="shared" si="1"/>
        <v>Uma vez por semana por um período de 4 semanas</v>
      </c>
    </row>
    <row r="34" spans="1:15" x14ac:dyDescent="0.25">
      <c r="A34" s="2" t="s">
        <v>17</v>
      </c>
      <c r="B34" s="2" t="s">
        <v>57</v>
      </c>
      <c r="C34" s="2" t="s">
        <v>291</v>
      </c>
      <c r="D34" s="9">
        <v>1</v>
      </c>
      <c r="E34" s="9">
        <v>3</v>
      </c>
      <c r="F34" s="9">
        <v>11</v>
      </c>
      <c r="G34" s="20">
        <v>3</v>
      </c>
      <c r="H34" s="20" t="s">
        <v>24</v>
      </c>
      <c r="I34" s="20"/>
      <c r="J34" s="20"/>
      <c r="K34" s="20">
        <v>3</v>
      </c>
      <c r="L34" s="20" t="s">
        <v>24</v>
      </c>
      <c r="M34" s="9" t="s">
        <v>292</v>
      </c>
      <c r="N34" s="9">
        <f t="shared" si="0"/>
        <v>3</v>
      </c>
      <c r="O34" s="2" t="str">
        <f t="shared" si="1"/>
        <v>3 vezes por semana por um período de 3 semanas</v>
      </c>
    </row>
    <row r="35" spans="1:15" x14ac:dyDescent="0.25">
      <c r="A35" s="2" t="s">
        <v>17</v>
      </c>
      <c r="B35" s="2" t="s">
        <v>57</v>
      </c>
      <c r="C35" s="2" t="s">
        <v>62</v>
      </c>
      <c r="D35" s="9">
        <v>1</v>
      </c>
      <c r="E35" s="9">
        <v>3</v>
      </c>
      <c r="F35" s="9">
        <v>12</v>
      </c>
      <c r="G35" s="20">
        <v>1</v>
      </c>
      <c r="H35" s="20" t="s">
        <v>24</v>
      </c>
      <c r="I35" s="20"/>
      <c r="J35" s="20"/>
      <c r="K35" s="20">
        <v>2</v>
      </c>
      <c r="L35" s="20" t="s">
        <v>24</v>
      </c>
      <c r="M35" s="9" t="s">
        <v>293</v>
      </c>
      <c r="N35" s="9">
        <f t="shared" si="0"/>
        <v>3</v>
      </c>
      <c r="O35" s="2" t="str">
        <f t="shared" si="1"/>
        <v>Uma vez por semana por um período de 2 semanas</v>
      </c>
    </row>
    <row r="36" spans="1:15" x14ac:dyDescent="0.25">
      <c r="A36" s="2" t="s">
        <v>17</v>
      </c>
      <c r="B36" s="2" t="s">
        <v>57</v>
      </c>
      <c r="C36" s="2" t="s">
        <v>294</v>
      </c>
      <c r="D36" s="9">
        <v>1</v>
      </c>
      <c r="E36" s="9">
        <v>3</v>
      </c>
      <c r="F36" s="9">
        <v>13</v>
      </c>
      <c r="G36" s="20">
        <v>1</v>
      </c>
      <c r="H36" s="20" t="s">
        <v>24</v>
      </c>
      <c r="I36" s="20"/>
      <c r="J36" s="20"/>
      <c r="K36" s="20">
        <v>3</v>
      </c>
      <c r="L36" s="20" t="s">
        <v>24</v>
      </c>
      <c r="M36" s="9" t="s">
        <v>295</v>
      </c>
      <c r="N36" s="9">
        <f t="shared" si="0"/>
        <v>3</v>
      </c>
      <c r="O36" s="2" t="str">
        <f t="shared" si="1"/>
        <v>Uma vez por semana por um período de 3 semanas</v>
      </c>
    </row>
    <row r="37" spans="1:15" x14ac:dyDescent="0.25">
      <c r="A37" s="2" t="s">
        <v>17</v>
      </c>
      <c r="B37" s="2" t="s">
        <v>57</v>
      </c>
      <c r="C37" s="2" t="s">
        <v>296</v>
      </c>
      <c r="D37" s="9">
        <v>1</v>
      </c>
      <c r="E37" s="9">
        <v>3</v>
      </c>
      <c r="F37" s="9">
        <v>14</v>
      </c>
      <c r="G37" s="20">
        <v>1</v>
      </c>
      <c r="H37" s="20" t="s">
        <v>24</v>
      </c>
      <c r="I37" s="20"/>
      <c r="J37" s="20"/>
      <c r="K37" s="20">
        <v>1</v>
      </c>
      <c r="L37" s="20" t="s">
        <v>24</v>
      </c>
      <c r="M37" s="9" t="s">
        <v>297</v>
      </c>
      <c r="N37" s="9">
        <f t="shared" si="0"/>
        <v>3</v>
      </c>
      <c r="O37" s="2" t="str">
        <f t="shared" si="1"/>
        <v>Uma vez por semana por um período de 1 semana</v>
      </c>
    </row>
    <row r="38" spans="1:15" x14ac:dyDescent="0.25">
      <c r="A38" s="2" t="s">
        <v>17</v>
      </c>
      <c r="B38" s="2" t="s">
        <v>57</v>
      </c>
      <c r="C38" s="2" t="s">
        <v>63</v>
      </c>
      <c r="D38" s="9">
        <v>1</v>
      </c>
      <c r="E38" s="9">
        <v>3</v>
      </c>
      <c r="F38" s="9">
        <v>15</v>
      </c>
      <c r="G38" s="20">
        <v>1</v>
      </c>
      <c r="H38" s="20" t="s">
        <v>24</v>
      </c>
      <c r="I38" s="20"/>
      <c r="J38" s="20"/>
      <c r="K38" s="20">
        <v>4</v>
      </c>
      <c r="L38" s="20" t="s">
        <v>24</v>
      </c>
      <c r="M38" s="9" t="s">
        <v>298</v>
      </c>
      <c r="N38" s="9">
        <f t="shared" si="0"/>
        <v>3</v>
      </c>
      <c r="O38" s="2" t="str">
        <f t="shared" si="1"/>
        <v>Uma vez por semana por um período de 4 semanas</v>
      </c>
    </row>
    <row r="40" spans="1:15" x14ac:dyDescent="0.25">
      <c r="A40" s="4" t="s">
        <v>64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2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2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9"/>
  <sheetViews>
    <sheetView workbookViewId="0">
      <pane ySplit="1" topLeftCell="A27" activePane="bottomLeft" state="frozen"/>
      <selection pane="bottomLeft" activeCell="O1" sqref="A1:O39"/>
    </sheetView>
  </sheetViews>
  <sheetFormatPr defaultRowHeight="15" x14ac:dyDescent="0.25"/>
  <cols>
    <col min="3" max="3" width="63" bestFit="1" customWidth="1"/>
    <col min="4" max="12" width="7" style="10" customWidth="1"/>
    <col min="13" max="13" width="13.140625" style="10" customWidth="1"/>
    <col min="14" max="14" width="7" style="10" customWidth="1"/>
    <col min="15" max="15" width="63.85546875" style="10" bestFit="1" customWidth="1"/>
    <col min="16" max="17" width="7" style="10" customWidth="1"/>
  </cols>
  <sheetData>
    <row r="1" spans="1:17" ht="119.25" x14ac:dyDescent="0.25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34</v>
      </c>
      <c r="K1" s="11" t="s">
        <v>35</v>
      </c>
      <c r="L1" s="11" t="s">
        <v>36</v>
      </c>
      <c r="M1" s="11" t="s">
        <v>37</v>
      </c>
      <c r="N1" s="11" t="s">
        <v>38</v>
      </c>
      <c r="O1" s="13" t="s">
        <v>243</v>
      </c>
      <c r="P1" s="21"/>
      <c r="Q1" s="11"/>
    </row>
    <row r="2" spans="1:17" x14ac:dyDescent="0.25">
      <c r="A2" s="2" t="s">
        <v>18</v>
      </c>
      <c r="B2" s="2" t="s">
        <v>39</v>
      </c>
      <c r="C2" s="2" t="s">
        <v>66</v>
      </c>
      <c r="D2" s="9">
        <v>3</v>
      </c>
      <c r="E2" s="9">
        <v>1</v>
      </c>
      <c r="F2" s="9">
        <v>1</v>
      </c>
      <c r="G2" s="9">
        <v>1</v>
      </c>
      <c r="H2" s="9" t="s">
        <v>23</v>
      </c>
      <c r="I2" s="9"/>
      <c r="J2" s="9"/>
      <c r="K2" s="9">
        <v>1</v>
      </c>
      <c r="L2" s="9" t="s">
        <v>24</v>
      </c>
      <c r="M2" s="9" t="str">
        <f>LEFT(A2,2)&amp;LEFT(B2,1)&amp;TEXT(F2,"000")&amp;"-"&amp;(G2)&amp;H2&amp;(K2)&amp;L2</f>
        <v>EsB001-1d1s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 semana</v>
      </c>
    </row>
    <row r="3" spans="1:17" x14ac:dyDescent="0.25">
      <c r="A3" s="2" t="s">
        <v>18</v>
      </c>
      <c r="B3" s="2" t="s">
        <v>39</v>
      </c>
      <c r="C3" s="2" t="s">
        <v>67</v>
      </c>
      <c r="D3" s="9">
        <v>3</v>
      </c>
      <c r="E3" s="9">
        <v>1</v>
      </c>
      <c r="F3" s="9">
        <v>2</v>
      </c>
      <c r="G3" s="9">
        <v>1</v>
      </c>
      <c r="H3" s="9" t="s">
        <v>23</v>
      </c>
      <c r="I3" s="9"/>
      <c r="J3" s="9"/>
      <c r="K3" s="9">
        <v>1</v>
      </c>
      <c r="L3" s="9" t="s">
        <v>24</v>
      </c>
      <c r="M3" s="9" t="str">
        <f t="shared" ref="M3:M38" si="0">LEFT(A3,2)&amp;LEFT(B3,1)&amp;TEXT(F3,"000")&amp;"-"&amp;(G3)&amp;H3&amp;(K3)&amp;L3</f>
        <v>EsB002-1d1s</v>
      </c>
      <c r="N3" s="9"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1 semana</v>
      </c>
    </row>
    <row r="4" spans="1:17" x14ac:dyDescent="0.25">
      <c r="A4" s="2" t="s">
        <v>18</v>
      </c>
      <c r="B4" s="2" t="s">
        <v>39</v>
      </c>
      <c r="C4" s="2" t="s">
        <v>68</v>
      </c>
      <c r="D4" s="9">
        <v>3</v>
      </c>
      <c r="E4" s="9">
        <v>1</v>
      </c>
      <c r="F4" s="9">
        <v>3</v>
      </c>
      <c r="G4" s="9">
        <v>1</v>
      </c>
      <c r="H4" s="9" t="s">
        <v>23</v>
      </c>
      <c r="I4" s="9"/>
      <c r="J4" s="9"/>
      <c r="K4" s="9">
        <v>7</v>
      </c>
      <c r="L4" s="9" t="s">
        <v>24</v>
      </c>
      <c r="M4" s="9" t="str">
        <f t="shared" si="0"/>
        <v>EsB003-1d7s</v>
      </c>
      <c r="N4" s="9">
        <v>1</v>
      </c>
      <c r="O4" s="2" t="str">
        <f t="shared" si="1"/>
        <v>Uma vez por dia por um período de 7 semanas</v>
      </c>
    </row>
    <row r="5" spans="1:17" x14ac:dyDescent="0.25">
      <c r="A5" s="2" t="s">
        <v>18</v>
      </c>
      <c r="B5" s="2" t="s">
        <v>39</v>
      </c>
      <c r="C5" s="2" t="s">
        <v>69</v>
      </c>
      <c r="D5" s="9">
        <v>3</v>
      </c>
      <c r="E5" s="9">
        <v>1</v>
      </c>
      <c r="F5" s="9">
        <v>4</v>
      </c>
      <c r="G5" s="9">
        <v>1</v>
      </c>
      <c r="H5" s="9" t="s">
        <v>24</v>
      </c>
      <c r="I5" s="9"/>
      <c r="J5" s="9"/>
      <c r="K5" s="9">
        <v>2</v>
      </c>
      <c r="L5" s="9" t="s">
        <v>24</v>
      </c>
      <c r="M5" s="9" t="str">
        <f t="shared" si="0"/>
        <v>EsB004-1s2s</v>
      </c>
      <c r="N5" s="9">
        <v>1</v>
      </c>
      <c r="O5" s="2" t="str">
        <f t="shared" si="1"/>
        <v>Uma vez por semana por um período de 2 semanas</v>
      </c>
    </row>
    <row r="6" spans="1:17" x14ac:dyDescent="0.25">
      <c r="A6" s="2" t="s">
        <v>18</v>
      </c>
      <c r="B6" s="2" t="s">
        <v>39</v>
      </c>
      <c r="C6" s="2" t="s">
        <v>70</v>
      </c>
      <c r="D6" s="9">
        <v>3</v>
      </c>
      <c r="E6" s="9">
        <v>1</v>
      </c>
      <c r="F6" s="9">
        <v>5</v>
      </c>
      <c r="G6" s="9">
        <v>1</v>
      </c>
      <c r="H6" s="9" t="s">
        <v>23</v>
      </c>
      <c r="I6" s="9"/>
      <c r="J6" s="9"/>
      <c r="K6" s="9">
        <v>10</v>
      </c>
      <c r="L6" s="9" t="s">
        <v>23</v>
      </c>
      <c r="M6" s="9" t="str">
        <f t="shared" si="0"/>
        <v>EsB005-1d10d</v>
      </c>
      <c r="N6" s="9">
        <v>1</v>
      </c>
      <c r="O6" s="2" t="str">
        <f t="shared" si="1"/>
        <v>Uma vez por dia por um período de 10 dias</v>
      </c>
    </row>
    <row r="7" spans="1:17" x14ac:dyDescent="0.25">
      <c r="A7" s="2" t="s">
        <v>18</v>
      </c>
      <c r="B7" s="2" t="s">
        <v>39</v>
      </c>
      <c r="C7" s="2" t="s">
        <v>71</v>
      </c>
      <c r="D7" s="9">
        <v>3</v>
      </c>
      <c r="E7" s="9">
        <v>1</v>
      </c>
      <c r="F7" s="9">
        <v>6</v>
      </c>
      <c r="G7" s="9">
        <v>1</v>
      </c>
      <c r="H7" s="9" t="s">
        <v>23</v>
      </c>
      <c r="I7" s="9"/>
      <c r="J7" s="9"/>
      <c r="K7" s="9">
        <v>2</v>
      </c>
      <c r="L7" s="9" t="s">
        <v>24</v>
      </c>
      <c r="M7" s="9" t="str">
        <f t="shared" si="0"/>
        <v>EsB006-1d2s</v>
      </c>
      <c r="N7" s="9">
        <v>1</v>
      </c>
      <c r="O7" s="2" t="str">
        <f t="shared" si="1"/>
        <v>Uma vez por dia por um período de 2 semanas</v>
      </c>
    </row>
    <row r="8" spans="1:17" x14ac:dyDescent="0.25">
      <c r="A8" s="2" t="s">
        <v>18</v>
      </c>
      <c r="B8" s="2" t="s">
        <v>39</v>
      </c>
      <c r="C8" s="2" t="s">
        <v>72</v>
      </c>
      <c r="D8" s="9">
        <v>3</v>
      </c>
      <c r="E8" s="9">
        <v>1</v>
      </c>
      <c r="F8" s="9">
        <v>7</v>
      </c>
      <c r="G8" s="9">
        <v>1</v>
      </c>
      <c r="H8" s="9" t="s">
        <v>23</v>
      </c>
      <c r="I8" s="9">
        <v>2</v>
      </c>
      <c r="J8" s="9" t="s">
        <v>23</v>
      </c>
      <c r="K8" s="9">
        <v>2</v>
      </c>
      <c r="L8" s="9" t="s">
        <v>24</v>
      </c>
      <c r="M8" s="9" t="str">
        <f t="shared" si="0"/>
        <v>EsB007-1d2s</v>
      </c>
      <c r="N8" s="9">
        <v>1</v>
      </c>
      <c r="O8" s="2" t="str">
        <f t="shared" si="1"/>
        <v>Uma vez por dia, a cada 2 dias, por um período de 2 semanas</v>
      </c>
    </row>
    <row r="9" spans="1:17" x14ac:dyDescent="0.25">
      <c r="A9" s="2" t="s">
        <v>18</v>
      </c>
      <c r="B9" s="2" t="s">
        <v>39</v>
      </c>
      <c r="C9" s="2" t="s">
        <v>73</v>
      </c>
      <c r="D9" s="9">
        <v>3</v>
      </c>
      <c r="E9" s="9">
        <v>1</v>
      </c>
      <c r="F9" s="9">
        <v>8</v>
      </c>
      <c r="G9" s="9">
        <v>2</v>
      </c>
      <c r="H9" s="9" t="s">
        <v>23</v>
      </c>
      <c r="I9" s="9"/>
      <c r="J9" s="9"/>
      <c r="K9" s="9">
        <v>1</v>
      </c>
      <c r="L9" s="9" t="s">
        <v>24</v>
      </c>
      <c r="M9" s="9" t="str">
        <f t="shared" si="0"/>
        <v>EsB008-2d1s</v>
      </c>
      <c r="N9" s="9">
        <v>1</v>
      </c>
      <c r="O9" s="2" t="str">
        <f t="shared" si="1"/>
        <v>2 vezes por dia por um período de 1 semana</v>
      </c>
    </row>
    <row r="10" spans="1:17" x14ac:dyDescent="0.25">
      <c r="A10" s="2" t="s">
        <v>18</v>
      </c>
      <c r="B10" s="2" t="s">
        <v>39</v>
      </c>
      <c r="C10" s="2" t="s">
        <v>74</v>
      </c>
      <c r="D10" s="9">
        <v>3</v>
      </c>
      <c r="E10" s="9">
        <v>1</v>
      </c>
      <c r="F10" s="9">
        <v>9</v>
      </c>
      <c r="G10" s="9">
        <v>1</v>
      </c>
      <c r="H10" s="9" t="s">
        <v>23</v>
      </c>
      <c r="I10" s="9">
        <v>3</v>
      </c>
      <c r="J10" s="9" t="s">
        <v>23</v>
      </c>
      <c r="K10" s="9">
        <v>1</v>
      </c>
      <c r="L10" s="9" t="s">
        <v>24</v>
      </c>
      <c r="M10" s="9" t="str">
        <f t="shared" si="0"/>
        <v>EsB009-1d1s</v>
      </c>
      <c r="N10" s="9">
        <v>1</v>
      </c>
      <c r="O10" s="2" t="str">
        <f t="shared" si="1"/>
        <v>Uma vez por dia, a cada 3 dias, por um período de 1 semana</v>
      </c>
    </row>
    <row r="11" spans="1:17" x14ac:dyDescent="0.25">
      <c r="A11" s="2" t="s">
        <v>18</v>
      </c>
      <c r="B11" s="2" t="s">
        <v>39</v>
      </c>
      <c r="C11" s="2" t="s">
        <v>75</v>
      </c>
      <c r="D11" s="9">
        <v>3</v>
      </c>
      <c r="E11" s="9">
        <v>1</v>
      </c>
      <c r="F11" s="9">
        <v>10</v>
      </c>
      <c r="G11" s="9">
        <v>1</v>
      </c>
      <c r="H11" s="9" t="s">
        <v>24</v>
      </c>
      <c r="I11" s="9"/>
      <c r="J11" s="9"/>
      <c r="K11" s="9">
        <v>1</v>
      </c>
      <c r="L11" s="9" t="s">
        <v>24</v>
      </c>
      <c r="M11" s="9" t="str">
        <f t="shared" si="0"/>
        <v>EsB010-1s1s</v>
      </c>
      <c r="N11" s="9">
        <v>1</v>
      </c>
      <c r="O11" s="2" t="str">
        <f t="shared" si="1"/>
        <v>Uma vez por semana por um período de 1 semana</v>
      </c>
    </row>
    <row r="12" spans="1:17" x14ac:dyDescent="0.25">
      <c r="A12" s="2" t="s">
        <v>18</v>
      </c>
      <c r="B12" s="2" t="s">
        <v>48</v>
      </c>
      <c r="C12" s="2" t="s">
        <v>76</v>
      </c>
      <c r="D12" s="9">
        <v>3</v>
      </c>
      <c r="E12" s="9">
        <v>2</v>
      </c>
      <c r="F12" s="9">
        <v>1</v>
      </c>
      <c r="G12" s="9">
        <v>1</v>
      </c>
      <c r="H12" s="9" t="s">
        <v>23</v>
      </c>
      <c r="I12" s="9">
        <v>7</v>
      </c>
      <c r="J12" s="9" t="s">
        <v>23</v>
      </c>
      <c r="K12" s="9">
        <v>4</v>
      </c>
      <c r="L12" s="9" t="s">
        <v>24</v>
      </c>
      <c r="M12" s="9" t="str">
        <f t="shared" si="0"/>
        <v>EsD001-1d4s</v>
      </c>
      <c r="N12" s="9">
        <v>2</v>
      </c>
      <c r="O12" s="2" t="str">
        <f t="shared" si="1"/>
        <v>Uma vez por dia, a cada 7 dias, por um período de 4 semanas</v>
      </c>
    </row>
    <row r="13" spans="1:17" x14ac:dyDescent="0.25">
      <c r="A13" s="2" t="s">
        <v>18</v>
      </c>
      <c r="B13" s="2" t="s">
        <v>48</v>
      </c>
      <c r="C13" s="2" t="s">
        <v>77</v>
      </c>
      <c r="D13" s="9">
        <v>3</v>
      </c>
      <c r="E13" s="9">
        <v>2</v>
      </c>
      <c r="F13" s="9">
        <v>2</v>
      </c>
      <c r="G13" s="9">
        <v>1</v>
      </c>
      <c r="H13" s="9" t="s">
        <v>23</v>
      </c>
      <c r="I13" s="9">
        <v>7</v>
      </c>
      <c r="J13" s="9" t="s">
        <v>23</v>
      </c>
      <c r="K13" s="9">
        <v>3</v>
      </c>
      <c r="L13" s="9" t="s">
        <v>24</v>
      </c>
      <c r="M13" s="9" t="str">
        <f t="shared" si="0"/>
        <v>EsD002-1d3s</v>
      </c>
      <c r="N13" s="9">
        <v>2</v>
      </c>
      <c r="O13" s="2" t="str">
        <f t="shared" si="1"/>
        <v>Uma vez por dia, a cada 7 dias, por um período de 3 semanas</v>
      </c>
    </row>
    <row r="14" spans="1:17" x14ac:dyDescent="0.25">
      <c r="A14" s="2" t="s">
        <v>18</v>
      </c>
      <c r="B14" s="2" t="s">
        <v>48</v>
      </c>
      <c r="C14" s="2" t="s">
        <v>78</v>
      </c>
      <c r="D14" s="9">
        <v>3</v>
      </c>
      <c r="E14" s="9">
        <v>2</v>
      </c>
      <c r="F14" s="9">
        <v>3</v>
      </c>
      <c r="G14" s="9">
        <v>1</v>
      </c>
      <c r="H14" s="9" t="s">
        <v>23</v>
      </c>
      <c r="I14" s="9">
        <v>2</v>
      </c>
      <c r="J14" s="9" t="s">
        <v>23</v>
      </c>
      <c r="K14" s="9">
        <v>2</v>
      </c>
      <c r="L14" s="9" t="s">
        <v>24</v>
      </c>
      <c r="M14" s="9" t="str">
        <f t="shared" si="0"/>
        <v>EsD003-1d2s</v>
      </c>
      <c r="N14" s="9">
        <v>2</v>
      </c>
      <c r="O14" s="2" t="str">
        <f t="shared" si="1"/>
        <v>Uma vez por dia, a cada 2 dias, por um período de 2 semanas</v>
      </c>
    </row>
    <row r="15" spans="1:17" x14ac:dyDescent="0.25">
      <c r="A15" s="2" t="s">
        <v>18</v>
      </c>
      <c r="B15" s="2" t="s">
        <v>48</v>
      </c>
      <c r="C15" s="2" t="s">
        <v>79</v>
      </c>
      <c r="D15" s="9">
        <v>3</v>
      </c>
      <c r="E15" s="9">
        <v>2</v>
      </c>
      <c r="F15" s="9">
        <v>4</v>
      </c>
      <c r="G15" s="9">
        <v>1</v>
      </c>
      <c r="H15" s="9" t="s">
        <v>24</v>
      </c>
      <c r="I15" s="9"/>
      <c r="J15" s="9"/>
      <c r="K15" s="9">
        <v>3</v>
      </c>
      <c r="L15" s="9" t="s">
        <v>24</v>
      </c>
      <c r="M15" s="9" t="str">
        <f t="shared" si="0"/>
        <v>EsD004-1s3s</v>
      </c>
      <c r="N15" s="9">
        <v>2</v>
      </c>
      <c r="O15" s="2" t="str">
        <f t="shared" si="1"/>
        <v>Uma vez por semana por um período de 3 semanas</v>
      </c>
    </row>
    <row r="16" spans="1:17" x14ac:dyDescent="0.25">
      <c r="A16" s="2" t="s">
        <v>18</v>
      </c>
      <c r="B16" s="2" t="s">
        <v>48</v>
      </c>
      <c r="C16" s="2" t="s">
        <v>80</v>
      </c>
      <c r="D16" s="9">
        <v>3</v>
      </c>
      <c r="E16" s="9">
        <v>2</v>
      </c>
      <c r="F16" s="9">
        <v>5</v>
      </c>
      <c r="G16" s="9">
        <v>1</v>
      </c>
      <c r="H16" s="9" t="s">
        <v>24</v>
      </c>
      <c r="I16" s="9"/>
      <c r="J16" s="9"/>
      <c r="K16" s="9">
        <v>2</v>
      </c>
      <c r="L16" s="9" t="s">
        <v>24</v>
      </c>
      <c r="M16" s="9" t="str">
        <f t="shared" si="0"/>
        <v>EsD005-1s2s</v>
      </c>
      <c r="N16" s="9">
        <v>2</v>
      </c>
      <c r="O16" s="2" t="str">
        <f t="shared" si="1"/>
        <v>Uma vez por semana por um período de 2 semanas</v>
      </c>
    </row>
    <row r="17" spans="1:15" x14ac:dyDescent="0.25">
      <c r="A17" s="2" t="s">
        <v>18</v>
      </c>
      <c r="B17" s="2" t="s">
        <v>48</v>
      </c>
      <c r="C17" s="2" t="s">
        <v>81</v>
      </c>
      <c r="D17" s="9">
        <v>3</v>
      </c>
      <c r="E17" s="9">
        <v>2</v>
      </c>
      <c r="F17" s="9">
        <v>6</v>
      </c>
      <c r="G17" s="9">
        <v>1</v>
      </c>
      <c r="H17" s="9" t="s">
        <v>24</v>
      </c>
      <c r="I17" s="9"/>
      <c r="J17" s="9"/>
      <c r="K17" s="9">
        <v>3</v>
      </c>
      <c r="L17" s="9" t="s">
        <v>24</v>
      </c>
      <c r="M17" s="9" t="str">
        <f t="shared" si="0"/>
        <v>EsD006-1s3s</v>
      </c>
      <c r="N17" s="9">
        <v>2</v>
      </c>
      <c r="O17" s="2" t="str">
        <f t="shared" si="1"/>
        <v>Uma vez por semana por um período de 3 semanas</v>
      </c>
    </row>
    <row r="18" spans="1:15" x14ac:dyDescent="0.25">
      <c r="A18" s="2" t="s">
        <v>18</v>
      </c>
      <c r="B18" s="2" t="s">
        <v>48</v>
      </c>
      <c r="C18" s="2" t="s">
        <v>82</v>
      </c>
      <c r="D18" s="9">
        <v>3</v>
      </c>
      <c r="E18" s="9">
        <v>2</v>
      </c>
      <c r="F18" s="9">
        <v>7</v>
      </c>
      <c r="G18" s="9">
        <v>1</v>
      </c>
      <c r="H18" s="9" t="s">
        <v>24</v>
      </c>
      <c r="I18" s="9"/>
      <c r="J18" s="9"/>
      <c r="K18" s="9">
        <v>3</v>
      </c>
      <c r="L18" s="9" t="s">
        <v>24</v>
      </c>
      <c r="M18" s="9" t="str">
        <f t="shared" si="0"/>
        <v>EsD007-1s3s</v>
      </c>
      <c r="N18" s="9">
        <v>2</v>
      </c>
      <c r="O18" s="2" t="str">
        <f t="shared" si="1"/>
        <v>Uma vez por semana por um período de 3 semanas</v>
      </c>
    </row>
    <row r="19" spans="1:15" x14ac:dyDescent="0.25">
      <c r="A19" s="2" t="s">
        <v>18</v>
      </c>
      <c r="B19" s="2" t="s">
        <v>48</v>
      </c>
      <c r="C19" s="2" t="s">
        <v>83</v>
      </c>
      <c r="D19" s="9">
        <v>3</v>
      </c>
      <c r="E19" s="9">
        <v>2</v>
      </c>
      <c r="F19" s="9">
        <v>8</v>
      </c>
      <c r="G19" s="9">
        <v>1</v>
      </c>
      <c r="H19" s="9" t="s">
        <v>24</v>
      </c>
      <c r="I19" s="9"/>
      <c r="J19" s="9"/>
      <c r="K19" s="9">
        <v>3</v>
      </c>
      <c r="L19" s="9" t="s">
        <v>24</v>
      </c>
      <c r="M19" s="9" t="str">
        <f t="shared" si="0"/>
        <v>EsD008-1s3s</v>
      </c>
      <c r="N19" s="9">
        <v>2</v>
      </c>
      <c r="O19" s="2" t="str">
        <f t="shared" si="1"/>
        <v>Uma vez por semana por um período de 3 semanas</v>
      </c>
    </row>
    <row r="20" spans="1:15" x14ac:dyDescent="0.25">
      <c r="A20" s="2" t="s">
        <v>18</v>
      </c>
      <c r="B20" s="2" t="s">
        <v>48</v>
      </c>
      <c r="C20" s="2" t="s">
        <v>84</v>
      </c>
      <c r="D20" s="9">
        <v>3</v>
      </c>
      <c r="E20" s="9">
        <v>2</v>
      </c>
      <c r="F20" s="9">
        <v>9</v>
      </c>
      <c r="G20" s="9">
        <v>1</v>
      </c>
      <c r="H20" s="9" t="s">
        <v>24</v>
      </c>
      <c r="I20" s="9"/>
      <c r="J20" s="9"/>
      <c r="K20" s="9">
        <v>4</v>
      </c>
      <c r="L20" s="9" t="s">
        <v>24</v>
      </c>
      <c r="M20" s="9" t="str">
        <f t="shared" si="0"/>
        <v>EsD009-1s4s</v>
      </c>
      <c r="N20" s="9">
        <v>2</v>
      </c>
      <c r="O20" s="2" t="str">
        <f t="shared" si="1"/>
        <v>Uma vez por semana por um período de 4 semanas</v>
      </c>
    </row>
    <row r="21" spans="1:15" x14ac:dyDescent="0.25">
      <c r="A21" s="2" t="s">
        <v>18</v>
      </c>
      <c r="B21" s="2" t="s">
        <v>48</v>
      </c>
      <c r="C21" s="2" t="s">
        <v>85</v>
      </c>
      <c r="D21" s="9">
        <v>3</v>
      </c>
      <c r="E21" s="9">
        <v>2</v>
      </c>
      <c r="F21" s="9">
        <v>10</v>
      </c>
      <c r="G21" s="9">
        <v>3</v>
      </c>
      <c r="H21" s="9" t="s">
        <v>24</v>
      </c>
      <c r="I21" s="9"/>
      <c r="J21" s="9"/>
      <c r="K21" s="9">
        <v>1</v>
      </c>
      <c r="L21" s="9" t="s">
        <v>24</v>
      </c>
      <c r="M21" s="9" t="str">
        <f t="shared" si="0"/>
        <v>EsD010-3s1s</v>
      </c>
      <c r="N21" s="9">
        <v>2</v>
      </c>
      <c r="O21" s="2" t="str">
        <f t="shared" si="1"/>
        <v>3 vezes por semana por um período de 1 semana</v>
      </c>
    </row>
    <row r="22" spans="1:15" x14ac:dyDescent="0.25">
      <c r="A22" s="2" t="s">
        <v>18</v>
      </c>
      <c r="B22" s="2" t="s">
        <v>48</v>
      </c>
      <c r="C22" s="2" t="s">
        <v>86</v>
      </c>
      <c r="D22" s="9">
        <v>3</v>
      </c>
      <c r="E22" s="9">
        <v>2</v>
      </c>
      <c r="F22" s="9">
        <v>11</v>
      </c>
      <c r="G22" s="9">
        <v>1</v>
      </c>
      <c r="H22" s="9" t="s">
        <v>23</v>
      </c>
      <c r="I22" s="9">
        <v>2</v>
      </c>
      <c r="J22" s="9" t="s">
        <v>23</v>
      </c>
      <c r="K22" s="9">
        <v>3</v>
      </c>
      <c r="L22" s="9" t="s">
        <v>24</v>
      </c>
      <c r="M22" s="9" t="str">
        <f t="shared" si="0"/>
        <v>EsD011-1d3s</v>
      </c>
      <c r="N22" s="9">
        <v>2</v>
      </c>
      <c r="O22" s="2" t="str">
        <f t="shared" si="1"/>
        <v>Uma vez por dia, a cada 2 dias, por um período de 3 semanas</v>
      </c>
    </row>
    <row r="23" spans="1:15" x14ac:dyDescent="0.25">
      <c r="A23" s="2" t="s">
        <v>18</v>
      </c>
      <c r="B23" s="2" t="s">
        <v>48</v>
      </c>
      <c r="C23" s="2" t="s">
        <v>87</v>
      </c>
      <c r="D23" s="9">
        <v>3</v>
      </c>
      <c r="E23" s="9">
        <v>2</v>
      </c>
      <c r="F23" s="9">
        <v>12</v>
      </c>
      <c r="G23" s="9">
        <v>1</v>
      </c>
      <c r="H23" s="9" t="s">
        <v>24</v>
      </c>
      <c r="I23" s="9"/>
      <c r="J23" s="9"/>
      <c r="K23" s="9">
        <v>1</v>
      </c>
      <c r="L23" s="9" t="s">
        <v>24</v>
      </c>
      <c r="M23" s="9" t="str">
        <f t="shared" si="0"/>
        <v>EsD012-1s1s</v>
      </c>
      <c r="N23" s="9">
        <v>2</v>
      </c>
      <c r="O23" s="2" t="str">
        <f t="shared" si="1"/>
        <v>Uma vez por semana por um período de 1 semana</v>
      </c>
    </row>
    <row r="24" spans="1:15" x14ac:dyDescent="0.25">
      <c r="A24" s="2" t="s">
        <v>18</v>
      </c>
      <c r="B24" s="2" t="s">
        <v>57</v>
      </c>
      <c r="C24" s="2" t="s">
        <v>88</v>
      </c>
      <c r="D24" s="9">
        <v>3</v>
      </c>
      <c r="E24" s="9">
        <v>3</v>
      </c>
      <c r="F24" s="9">
        <v>1</v>
      </c>
      <c r="G24" s="9">
        <v>1</v>
      </c>
      <c r="H24" s="9" t="s">
        <v>23</v>
      </c>
      <c r="I24" s="9">
        <v>3</v>
      </c>
      <c r="J24" s="9" t="s">
        <v>24</v>
      </c>
      <c r="K24" s="9">
        <v>3</v>
      </c>
      <c r="L24" s="9" t="s">
        <v>24</v>
      </c>
      <c r="M24" s="9" t="str">
        <f t="shared" si="0"/>
        <v>EsA001-1d3s</v>
      </c>
      <c r="N24" s="9">
        <v>3</v>
      </c>
      <c r="O24" s="2" t="str">
        <f t="shared" si="1"/>
        <v>Uma vez por dia, a cada 3 semanas, por um período de 3 semanas</v>
      </c>
    </row>
    <row r="25" spans="1:15" x14ac:dyDescent="0.25">
      <c r="A25" s="2" t="s">
        <v>18</v>
      </c>
      <c r="B25" s="2" t="s">
        <v>57</v>
      </c>
      <c r="C25" s="2" t="s">
        <v>89</v>
      </c>
      <c r="D25" s="9">
        <v>3</v>
      </c>
      <c r="E25" s="9">
        <v>3</v>
      </c>
      <c r="F25" s="9">
        <v>2</v>
      </c>
      <c r="G25" s="9">
        <v>3</v>
      </c>
      <c r="H25" s="9" t="s">
        <v>23</v>
      </c>
      <c r="I25" s="9">
        <v>1</v>
      </c>
      <c r="J25" s="9" t="s">
        <v>23</v>
      </c>
      <c r="K25" s="9">
        <v>5</v>
      </c>
      <c r="L25" s="9" t="s">
        <v>23</v>
      </c>
      <c r="M25" s="9" t="str">
        <f t="shared" si="0"/>
        <v>EsA002-3d5d</v>
      </c>
      <c r="N25" s="9">
        <v>3</v>
      </c>
      <c r="O25" s="2" t="str">
        <f t="shared" si="1"/>
        <v>3 vezes por dia, a cada 1 dia, por um período de 5 dias</v>
      </c>
    </row>
    <row r="26" spans="1:15" x14ac:dyDescent="0.25">
      <c r="A26" s="2" t="s">
        <v>18</v>
      </c>
      <c r="B26" s="2" t="s">
        <v>57</v>
      </c>
      <c r="C26" s="2" t="s">
        <v>90</v>
      </c>
      <c r="D26" s="9">
        <v>3</v>
      </c>
      <c r="E26" s="9">
        <v>3</v>
      </c>
      <c r="F26" s="9">
        <v>3</v>
      </c>
      <c r="G26" s="9">
        <v>1</v>
      </c>
      <c r="H26" s="9" t="s">
        <v>23</v>
      </c>
      <c r="I26" s="9">
        <v>3</v>
      </c>
      <c r="J26" s="9" t="s">
        <v>23</v>
      </c>
      <c r="K26" s="9">
        <v>9</v>
      </c>
      <c r="L26" s="9" t="s">
        <v>23</v>
      </c>
      <c r="M26" s="9" t="str">
        <f t="shared" si="0"/>
        <v>EsA003-1d9d</v>
      </c>
      <c r="N26" s="9">
        <v>3</v>
      </c>
      <c r="O26" s="2" t="str">
        <f t="shared" si="1"/>
        <v>Uma vez por dia, a cada 3 dias, por um período de 9 dias</v>
      </c>
    </row>
    <row r="27" spans="1:15" x14ac:dyDescent="0.25">
      <c r="A27" s="2" t="s">
        <v>18</v>
      </c>
      <c r="B27" s="2" t="s">
        <v>57</v>
      </c>
      <c r="C27" s="2" t="s">
        <v>91</v>
      </c>
      <c r="D27" s="9">
        <v>3</v>
      </c>
      <c r="E27" s="9">
        <v>3</v>
      </c>
      <c r="F27" s="9">
        <v>4</v>
      </c>
      <c r="G27" s="9">
        <v>1</v>
      </c>
      <c r="H27" s="9" t="s">
        <v>24</v>
      </c>
      <c r="I27" s="9">
        <v>1</v>
      </c>
      <c r="J27" s="9" t="s">
        <v>24</v>
      </c>
      <c r="K27" s="9">
        <v>2</v>
      </c>
      <c r="L27" s="9" t="s">
        <v>24</v>
      </c>
      <c r="M27" s="9" t="str">
        <f t="shared" si="0"/>
        <v>EsA004-1s2s</v>
      </c>
      <c r="N27" s="9">
        <v>3</v>
      </c>
      <c r="O27" s="2" t="str">
        <f t="shared" si="1"/>
        <v>Uma vez por semana, a cada 1 semana, por um período de 2 semanas</v>
      </c>
    </row>
    <row r="28" spans="1:15" x14ac:dyDescent="0.25">
      <c r="A28" s="2" t="s">
        <v>18</v>
      </c>
      <c r="B28" s="2" t="s">
        <v>57</v>
      </c>
      <c r="C28" s="2" t="s">
        <v>242</v>
      </c>
      <c r="D28" s="9">
        <v>3</v>
      </c>
      <c r="E28" s="9">
        <v>3</v>
      </c>
      <c r="F28" s="9">
        <v>5</v>
      </c>
      <c r="G28" s="9">
        <v>1</v>
      </c>
      <c r="H28" s="9" t="s">
        <v>24</v>
      </c>
      <c r="I28" s="9"/>
      <c r="J28" s="9"/>
      <c r="K28" s="9">
        <v>1</v>
      </c>
      <c r="L28" s="9" t="s">
        <v>24</v>
      </c>
      <c r="M28" s="9" t="str">
        <f t="shared" si="0"/>
        <v>EsA005-1s1s</v>
      </c>
      <c r="N28" s="9">
        <v>3</v>
      </c>
      <c r="O28" s="2" t="str">
        <f t="shared" si="1"/>
        <v>Uma vez por semana por um período de 1 semana</v>
      </c>
    </row>
    <row r="29" spans="1:15" x14ac:dyDescent="0.25">
      <c r="A29" s="2" t="s">
        <v>18</v>
      </c>
      <c r="B29" s="2" t="s">
        <v>57</v>
      </c>
      <c r="C29" s="2" t="s">
        <v>92</v>
      </c>
      <c r="D29" s="9">
        <v>3</v>
      </c>
      <c r="E29" s="9">
        <v>3</v>
      </c>
      <c r="F29" s="9">
        <v>6</v>
      </c>
      <c r="G29" s="9">
        <v>1</v>
      </c>
      <c r="H29" s="9" t="s">
        <v>24</v>
      </c>
      <c r="I29" s="9">
        <v>1</v>
      </c>
      <c r="J29" s="9" t="s">
        <v>24</v>
      </c>
      <c r="K29" s="9">
        <v>2</v>
      </c>
      <c r="L29" s="9" t="s">
        <v>24</v>
      </c>
      <c r="M29" s="9" t="str">
        <f t="shared" si="0"/>
        <v>EsA006-1s2s</v>
      </c>
      <c r="N29" s="9">
        <v>3</v>
      </c>
      <c r="O29" s="2" t="str">
        <f t="shared" si="1"/>
        <v>Uma vez por semana, a cada 1 semana, por um período de 2 semanas</v>
      </c>
    </row>
    <row r="30" spans="1:15" x14ac:dyDescent="0.25">
      <c r="A30" s="2" t="s">
        <v>18</v>
      </c>
      <c r="B30" s="2" t="s">
        <v>57</v>
      </c>
      <c r="C30" s="2" t="s">
        <v>93</v>
      </c>
      <c r="D30" s="9">
        <v>3</v>
      </c>
      <c r="E30" s="9">
        <v>3</v>
      </c>
      <c r="F30" s="9">
        <v>7</v>
      </c>
      <c r="G30" s="9">
        <v>1</v>
      </c>
      <c r="H30" s="9" t="s">
        <v>23</v>
      </c>
      <c r="I30" s="9"/>
      <c r="J30" s="9"/>
      <c r="K30" s="9">
        <v>1</v>
      </c>
      <c r="L30" s="9" t="s">
        <v>24</v>
      </c>
      <c r="M30" s="9" t="str">
        <f t="shared" si="0"/>
        <v>EsA007-1d1s</v>
      </c>
      <c r="N30" s="9">
        <v>3</v>
      </c>
      <c r="O30" s="2" t="str">
        <f t="shared" si="1"/>
        <v>Uma vez por dia por um período de 1 semana</v>
      </c>
    </row>
    <row r="31" spans="1:15" x14ac:dyDescent="0.25">
      <c r="A31" s="2" t="s">
        <v>18</v>
      </c>
      <c r="B31" s="2" t="s">
        <v>57</v>
      </c>
      <c r="C31" s="2" t="s">
        <v>94</v>
      </c>
      <c r="D31" s="9">
        <v>3</v>
      </c>
      <c r="E31" s="9">
        <v>3</v>
      </c>
      <c r="F31" s="9">
        <v>8</v>
      </c>
      <c r="G31" s="9">
        <v>1</v>
      </c>
      <c r="H31" s="9" t="s">
        <v>23</v>
      </c>
      <c r="I31" s="9">
        <v>3</v>
      </c>
      <c r="J31" s="9" t="s">
        <v>23</v>
      </c>
      <c r="K31" s="9">
        <v>9</v>
      </c>
      <c r="L31" s="9" t="s">
        <v>23</v>
      </c>
      <c r="M31" s="9" t="str">
        <f t="shared" si="0"/>
        <v>EsA008-1d9d</v>
      </c>
      <c r="N31" s="9">
        <v>3</v>
      </c>
      <c r="O31" s="2" t="str">
        <f t="shared" si="1"/>
        <v>Uma vez por dia, a cada 3 dias, por um período de 9 dias</v>
      </c>
    </row>
    <row r="32" spans="1:15" x14ac:dyDescent="0.25">
      <c r="A32" s="2" t="s">
        <v>18</v>
      </c>
      <c r="B32" s="2" t="s">
        <v>57</v>
      </c>
      <c r="C32" s="2" t="s">
        <v>95</v>
      </c>
      <c r="D32" s="9">
        <v>3</v>
      </c>
      <c r="E32" s="9">
        <v>3</v>
      </c>
      <c r="F32" s="9">
        <v>9</v>
      </c>
      <c r="G32" s="9">
        <v>1</v>
      </c>
      <c r="H32" s="9" t="s">
        <v>23</v>
      </c>
      <c r="I32" s="9">
        <v>2</v>
      </c>
      <c r="J32" s="9" t="s">
        <v>23</v>
      </c>
      <c r="K32" s="9">
        <v>1</v>
      </c>
      <c r="L32" s="9" t="s">
        <v>24</v>
      </c>
      <c r="M32" s="9" t="str">
        <f t="shared" si="0"/>
        <v>EsA009-1d1s</v>
      </c>
      <c r="N32" s="9">
        <v>3</v>
      </c>
      <c r="O32" s="2" t="str">
        <f t="shared" si="1"/>
        <v>Uma vez por dia, a cada 2 dias, por um período de 1 semana</v>
      </c>
    </row>
    <row r="33" spans="1:15" x14ac:dyDescent="0.25">
      <c r="A33" s="2" t="s">
        <v>18</v>
      </c>
      <c r="B33" s="2" t="s">
        <v>57</v>
      </c>
      <c r="C33" s="2" t="s">
        <v>96</v>
      </c>
      <c r="D33" s="9">
        <v>3</v>
      </c>
      <c r="E33" s="9">
        <v>3</v>
      </c>
      <c r="F33" s="9">
        <v>10</v>
      </c>
      <c r="G33" s="9">
        <v>1</v>
      </c>
      <c r="H33" s="9" t="s">
        <v>24</v>
      </c>
      <c r="I33" s="9">
        <v>1</v>
      </c>
      <c r="J33" s="9" t="s">
        <v>24</v>
      </c>
      <c r="K33" s="9">
        <v>4</v>
      </c>
      <c r="L33" s="9" t="s">
        <v>24</v>
      </c>
      <c r="M33" s="9" t="str">
        <f t="shared" si="0"/>
        <v>EsA010-1s4s</v>
      </c>
      <c r="N33" s="9">
        <v>3</v>
      </c>
      <c r="O33" s="2" t="str">
        <f t="shared" si="1"/>
        <v>Uma vez por semana, a cada 1 semana, por um período de 4 semanas</v>
      </c>
    </row>
    <row r="34" spans="1:15" x14ac:dyDescent="0.25">
      <c r="A34" s="2" t="s">
        <v>18</v>
      </c>
      <c r="B34" s="2" t="s">
        <v>57</v>
      </c>
      <c r="C34" s="2" t="s">
        <v>97</v>
      </c>
      <c r="D34" s="9">
        <v>3</v>
      </c>
      <c r="E34" s="9">
        <v>3</v>
      </c>
      <c r="F34" s="9">
        <v>11</v>
      </c>
      <c r="G34" s="9">
        <v>1</v>
      </c>
      <c r="H34" s="9" t="s">
        <v>23</v>
      </c>
      <c r="I34" s="9">
        <v>1</v>
      </c>
      <c r="J34" s="9" t="s">
        <v>23</v>
      </c>
      <c r="K34" s="9">
        <v>21</v>
      </c>
      <c r="L34" s="9" t="s">
        <v>23</v>
      </c>
      <c r="M34" s="9" t="str">
        <f t="shared" si="0"/>
        <v>EsA011-1d21d</v>
      </c>
      <c r="N34" s="9">
        <v>3</v>
      </c>
      <c r="O34" s="2" t="str">
        <f t="shared" si="1"/>
        <v>Uma vez por dia, a cada 1 dia, por um período de 21 dias</v>
      </c>
    </row>
    <row r="35" spans="1:15" x14ac:dyDescent="0.25">
      <c r="A35" s="2" t="s">
        <v>18</v>
      </c>
      <c r="B35" s="2" t="s">
        <v>57</v>
      </c>
      <c r="C35" s="2" t="s">
        <v>98</v>
      </c>
      <c r="D35" s="9">
        <v>3</v>
      </c>
      <c r="E35" s="9">
        <v>3</v>
      </c>
      <c r="F35" s="9">
        <v>12</v>
      </c>
      <c r="G35" s="9">
        <v>1</v>
      </c>
      <c r="H35" s="9" t="s">
        <v>24</v>
      </c>
      <c r="I35" s="9">
        <v>2</v>
      </c>
      <c r="J35" s="9" t="s">
        <v>24</v>
      </c>
      <c r="K35" s="9">
        <v>4</v>
      </c>
      <c r="L35" s="9" t="s">
        <v>24</v>
      </c>
      <c r="M35" s="9" t="str">
        <f t="shared" si="0"/>
        <v>EsA012-1s4s</v>
      </c>
      <c r="N35" s="9">
        <v>3</v>
      </c>
      <c r="O35" s="2" t="str">
        <f t="shared" si="1"/>
        <v>Uma vez por semana, a cada 2 semanas, por um período de 4 semanas</v>
      </c>
    </row>
    <row r="36" spans="1:15" x14ac:dyDescent="0.25">
      <c r="A36" s="2" t="s">
        <v>18</v>
      </c>
      <c r="B36" s="2" t="s">
        <v>57</v>
      </c>
      <c r="C36" s="2" t="s">
        <v>99</v>
      </c>
      <c r="D36" s="9">
        <v>3</v>
      </c>
      <c r="E36" s="9">
        <v>3</v>
      </c>
      <c r="F36" s="9">
        <v>13</v>
      </c>
      <c r="G36" s="9">
        <v>0</v>
      </c>
      <c r="H36" s="9" t="s">
        <v>23</v>
      </c>
      <c r="I36" s="9">
        <v>1</v>
      </c>
      <c r="J36" s="9" t="s">
        <v>23</v>
      </c>
      <c r="K36" s="9">
        <v>4</v>
      </c>
      <c r="L36" s="9" t="s">
        <v>24</v>
      </c>
      <c r="M36" s="9" t="str">
        <f t="shared" si="0"/>
        <v>EsA013-0d4s</v>
      </c>
      <c r="N36" s="9">
        <v>3</v>
      </c>
      <c r="O36" s="2" t="str">
        <f t="shared" si="1"/>
        <v>O dia inteiro, a cada 1 dia, por um período de 4 semanas</v>
      </c>
    </row>
    <row r="37" spans="1:15" x14ac:dyDescent="0.25">
      <c r="A37" s="2" t="s">
        <v>18</v>
      </c>
      <c r="B37" s="2" t="s">
        <v>57</v>
      </c>
      <c r="C37" s="2" t="s">
        <v>100</v>
      </c>
      <c r="D37" s="9">
        <v>3</v>
      </c>
      <c r="E37" s="9">
        <v>3</v>
      </c>
      <c r="F37" s="9">
        <v>14</v>
      </c>
      <c r="G37" s="9">
        <v>1</v>
      </c>
      <c r="H37" s="9" t="s">
        <v>23</v>
      </c>
      <c r="I37" s="9">
        <v>1</v>
      </c>
      <c r="J37" s="9" t="s">
        <v>23</v>
      </c>
      <c r="K37" s="9">
        <v>2</v>
      </c>
      <c r="L37" s="9" t="s">
        <v>24</v>
      </c>
      <c r="M37" s="9" t="str">
        <f t="shared" si="0"/>
        <v>EsA014-1d2s</v>
      </c>
      <c r="N37" s="9">
        <v>3</v>
      </c>
      <c r="O37" s="2" t="str">
        <f t="shared" si="1"/>
        <v>Uma vez por dia, a cada 1 dia, por um período de 2 semanas</v>
      </c>
    </row>
    <row r="38" spans="1:15" x14ac:dyDescent="0.25">
      <c r="A38" s="2" t="s">
        <v>18</v>
      </c>
      <c r="B38" s="2" t="s">
        <v>57</v>
      </c>
      <c r="C38" s="2" t="s">
        <v>101</v>
      </c>
      <c r="D38" s="9">
        <v>3</v>
      </c>
      <c r="E38" s="9">
        <v>3</v>
      </c>
      <c r="F38" s="9">
        <v>15</v>
      </c>
      <c r="G38" s="9">
        <v>1</v>
      </c>
      <c r="H38" s="9" t="s">
        <v>23</v>
      </c>
      <c r="I38" s="9">
        <v>1</v>
      </c>
      <c r="J38" s="9" t="s">
        <v>23</v>
      </c>
      <c r="K38" s="9">
        <v>6</v>
      </c>
      <c r="L38" s="9" t="s">
        <v>24</v>
      </c>
      <c r="M38" s="9" t="str">
        <f t="shared" si="0"/>
        <v>EsA015-1d6s</v>
      </c>
      <c r="N38" s="9">
        <v>3</v>
      </c>
      <c r="O38" s="2" t="str">
        <f t="shared" si="1"/>
        <v>Uma vez por dia, a cada 1 dia, por um período de 6 semanas</v>
      </c>
    </row>
    <row r="39" spans="1:15" x14ac:dyDescent="0.25">
      <c r="A39" s="2"/>
      <c r="B39" s="2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2" t="str">
        <f t="shared" ref="O3:O39" si="2"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O dia inteiro por um período de 6 semanas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3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3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="90" zoomScaleNormal="90" workbookViewId="0">
      <pane ySplit="1" topLeftCell="A24" activePane="bottomLeft" state="frozen"/>
      <selection pane="bottomLeft" activeCell="C1" sqref="A1:O39"/>
    </sheetView>
  </sheetViews>
  <sheetFormatPr defaultRowHeight="15" x14ac:dyDescent="0.25"/>
  <cols>
    <col min="1" max="1" width="10.140625" bestFit="1" customWidth="1"/>
    <col min="2" max="2" width="11.85546875" customWidth="1"/>
    <col min="3" max="3" width="59" bestFit="1" customWidth="1"/>
    <col min="4" max="9" width="4.28515625" style="10" bestFit="1" customWidth="1"/>
    <col min="10" max="10" width="12.42578125" style="10" bestFit="1" customWidth="1"/>
    <col min="11" max="14" width="4.28515625" style="10" bestFit="1" customWidth="1"/>
    <col min="15" max="15" width="81.85546875" bestFit="1" customWidth="1"/>
  </cols>
  <sheetData>
    <row r="1" spans="1:15" ht="119.25" x14ac:dyDescent="0.25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34</v>
      </c>
      <c r="K1" s="11" t="s">
        <v>35</v>
      </c>
      <c r="L1" s="11" t="s">
        <v>36</v>
      </c>
      <c r="M1" s="11" t="s">
        <v>37</v>
      </c>
      <c r="N1" s="11" t="s">
        <v>38</v>
      </c>
      <c r="O1" s="13" t="s">
        <v>243</v>
      </c>
    </row>
    <row r="2" spans="1:15" x14ac:dyDescent="0.25">
      <c r="A2" s="2" t="s">
        <v>19</v>
      </c>
      <c r="B2" s="2" t="s">
        <v>39</v>
      </c>
      <c r="C2" s="2" t="s">
        <v>107</v>
      </c>
      <c r="D2" s="9">
        <v>6</v>
      </c>
      <c r="E2" s="9">
        <v>1</v>
      </c>
      <c r="F2" s="9">
        <v>6</v>
      </c>
      <c r="G2" s="9">
        <v>1</v>
      </c>
      <c r="H2" s="9" t="s">
        <v>23</v>
      </c>
      <c r="I2" s="9">
        <v>3</v>
      </c>
      <c r="J2" s="9" t="s">
        <v>23</v>
      </c>
      <c r="K2" s="9">
        <v>3</v>
      </c>
      <c r="L2" s="9" t="s">
        <v>24</v>
      </c>
      <c r="M2" s="9" t="str">
        <f>LEFT(A2,2)&amp;LEFT(B2,1)&amp;TEXT(F2,"000")&amp;"-"&amp;(G2)&amp;H2&amp;(K2)&amp;L2</f>
        <v>EuB006-1d3s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3 semanas</v>
      </c>
    </row>
    <row r="3" spans="1:15" x14ac:dyDescent="0.25">
      <c r="A3" s="2" t="s">
        <v>19</v>
      </c>
      <c r="B3" s="2" t="s">
        <v>48</v>
      </c>
      <c r="C3" s="2" t="s">
        <v>116</v>
      </c>
      <c r="D3" s="9">
        <v>6</v>
      </c>
      <c r="E3" s="9">
        <v>2</v>
      </c>
      <c r="F3" s="9">
        <v>7</v>
      </c>
      <c r="G3" s="9">
        <v>1</v>
      </c>
      <c r="H3" s="9" t="s">
        <v>23</v>
      </c>
      <c r="I3" s="9"/>
      <c r="J3" s="9"/>
      <c r="K3" s="9">
        <v>4</v>
      </c>
      <c r="L3" s="9" t="s">
        <v>24</v>
      </c>
      <c r="M3" s="9" t="str">
        <f>LEFT(A3,2)&amp;LEFT(B3,1)&amp;TEXT(F3,"000")&amp;"-"&amp;(G3)&amp;H3&amp;(K3)&amp;L3</f>
        <v>EuD007-1d4s</v>
      </c>
      <c r="N3" s="9">
        <v>2</v>
      </c>
      <c r="O3" s="2" t="str">
        <f t="shared" ref="O3:O38" si="0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4 semanas</v>
      </c>
    </row>
    <row r="4" spans="1:15" x14ac:dyDescent="0.25">
      <c r="A4" s="2" t="s">
        <v>19</v>
      </c>
      <c r="B4" s="2" t="s">
        <v>39</v>
      </c>
      <c r="C4" s="2" t="s">
        <v>102</v>
      </c>
      <c r="D4" s="9">
        <v>6</v>
      </c>
      <c r="E4" s="9">
        <v>1</v>
      </c>
      <c r="F4" s="9">
        <v>1</v>
      </c>
      <c r="G4" s="9">
        <v>1</v>
      </c>
      <c r="H4" s="9" t="s">
        <v>23</v>
      </c>
      <c r="I4" s="9"/>
      <c r="J4" s="9"/>
      <c r="K4" s="9">
        <v>3</v>
      </c>
      <c r="L4" s="9" t="s">
        <v>24</v>
      </c>
      <c r="M4" s="9" t="str">
        <f>LEFT(A4,2)&amp;LEFT(B4,1)&amp;TEXT(F4,"000")&amp;"-"&amp;(G4)&amp;H4&amp;(K4)&amp;L4</f>
        <v>EuB001-1d3s</v>
      </c>
      <c r="N4" s="9">
        <v>1</v>
      </c>
      <c r="O4" s="2" t="str">
        <f t="shared" si="0"/>
        <v>Uma vez por dia por um período de 3 semanas</v>
      </c>
    </row>
    <row r="5" spans="1:15" x14ac:dyDescent="0.25">
      <c r="A5" s="2" t="s">
        <v>19</v>
      </c>
      <c r="B5" s="2" t="s">
        <v>57</v>
      </c>
      <c r="C5" s="2" t="s">
        <v>120</v>
      </c>
      <c r="D5" s="9">
        <v>6</v>
      </c>
      <c r="E5" s="9">
        <v>3</v>
      </c>
      <c r="F5" s="9">
        <v>1</v>
      </c>
      <c r="G5" s="9">
        <v>5</v>
      </c>
      <c r="H5" s="9" t="s">
        <v>24</v>
      </c>
      <c r="I5" s="9"/>
      <c r="J5" s="9"/>
      <c r="K5" s="9">
        <v>4</v>
      </c>
      <c r="L5" s="9" t="s">
        <v>24</v>
      </c>
      <c r="M5" s="9" t="str">
        <f>LEFT(A5,2)&amp;LEFT(B5,1)&amp;TEXT(F5,"000")&amp;"-"&amp;(G5)&amp;H5&amp;(K5)&amp;L5</f>
        <v>EuA001-5s4s</v>
      </c>
      <c r="N5" s="9">
        <v>3</v>
      </c>
      <c r="O5" s="2" t="str">
        <f t="shared" si="0"/>
        <v>5 vezes por semana por um período de 4 semanas</v>
      </c>
    </row>
    <row r="6" spans="1:15" x14ac:dyDescent="0.25">
      <c r="A6" s="2" t="s">
        <v>19</v>
      </c>
      <c r="B6" s="2" t="s">
        <v>57</v>
      </c>
      <c r="C6" s="2" t="s">
        <v>125</v>
      </c>
      <c r="D6" s="9">
        <v>6</v>
      </c>
      <c r="E6" s="9">
        <v>3</v>
      </c>
      <c r="F6" s="9">
        <v>6</v>
      </c>
      <c r="G6" s="9">
        <v>1</v>
      </c>
      <c r="H6" s="9" t="s">
        <v>23</v>
      </c>
      <c r="I6" s="9"/>
      <c r="J6" s="9"/>
      <c r="K6" s="9">
        <v>4</v>
      </c>
      <c r="L6" s="9" t="s">
        <v>24</v>
      </c>
      <c r="M6" s="9" t="str">
        <f>LEFT(A6,2)&amp;LEFT(B6,1)&amp;TEXT(F6,"000")&amp;"-"&amp;(G6)&amp;H6&amp;(K6)&amp;L6</f>
        <v>EuA006-1d4s</v>
      </c>
      <c r="N6" s="9">
        <v>3</v>
      </c>
      <c r="O6" s="2" t="str">
        <f t="shared" si="0"/>
        <v>Uma vez por dia por um período de 4 semanas</v>
      </c>
    </row>
    <row r="7" spans="1:15" x14ac:dyDescent="0.25">
      <c r="A7" s="2" t="s">
        <v>19</v>
      </c>
      <c r="B7" s="2" t="s">
        <v>39</v>
      </c>
      <c r="C7" s="2" t="s">
        <v>238</v>
      </c>
      <c r="D7" s="9">
        <v>6</v>
      </c>
      <c r="E7" s="9">
        <v>1</v>
      </c>
      <c r="F7" s="9">
        <v>9</v>
      </c>
      <c r="G7" s="9">
        <v>1</v>
      </c>
      <c r="H7" s="9" t="s">
        <v>23</v>
      </c>
      <c r="I7" s="9">
        <v>3</v>
      </c>
      <c r="J7" s="9" t="s">
        <v>23</v>
      </c>
      <c r="K7" s="9">
        <v>3</v>
      </c>
      <c r="L7" s="9" t="s">
        <v>24</v>
      </c>
      <c r="M7" s="9" t="str">
        <f>LEFT(A7,2)&amp;LEFT(B7,1)&amp;TEXT(F7,"000")&amp;"-"&amp;(G7)&amp;H7&amp;(K7)&amp;L7</f>
        <v>EuB009-1d3s</v>
      </c>
      <c r="N7" s="9">
        <v>1</v>
      </c>
      <c r="O7" s="2" t="str">
        <f t="shared" si="0"/>
        <v>Uma vez por dia, a cada 3 dias, por um período de 3 semanas</v>
      </c>
    </row>
    <row r="8" spans="1:15" x14ac:dyDescent="0.25">
      <c r="A8" s="2" t="s">
        <v>19</v>
      </c>
      <c r="B8" s="2" t="s">
        <v>57</v>
      </c>
      <c r="C8" s="2" t="s">
        <v>134</v>
      </c>
      <c r="D8" s="9">
        <v>6</v>
      </c>
      <c r="E8" s="9">
        <v>3</v>
      </c>
      <c r="F8" s="9">
        <v>15</v>
      </c>
      <c r="G8" s="9">
        <v>1</v>
      </c>
      <c r="H8" s="9" t="s">
        <v>23</v>
      </c>
      <c r="I8" s="9"/>
      <c r="J8" s="9"/>
      <c r="K8" s="9">
        <v>0</v>
      </c>
      <c r="L8" s="9" t="s">
        <v>23</v>
      </c>
      <c r="M8" s="9" t="str">
        <f>LEFT(A8,2)&amp;LEFT(B8,1)&amp;TEXT(F8,"000")&amp;"-"&amp;(G8)&amp;H8&amp;(K8)&amp;L8</f>
        <v>EuA015-1d0d</v>
      </c>
      <c r="N8" s="9">
        <v>3</v>
      </c>
      <c r="O8" s="2" t="str">
        <f t="shared" si="0"/>
        <v>Uma vez por dia por um período de 0 dias</v>
      </c>
    </row>
    <row r="9" spans="1:15" x14ac:dyDescent="0.25">
      <c r="A9" s="2" t="s">
        <v>19</v>
      </c>
      <c r="B9" s="2" t="s">
        <v>48</v>
      </c>
      <c r="C9" s="2" t="s">
        <v>117</v>
      </c>
      <c r="D9" s="9">
        <v>6</v>
      </c>
      <c r="E9" s="9">
        <v>2</v>
      </c>
      <c r="F9" s="9">
        <v>8</v>
      </c>
      <c r="G9" s="9">
        <v>0</v>
      </c>
      <c r="H9" s="9" t="s">
        <v>23</v>
      </c>
      <c r="I9" s="9">
        <v>1</v>
      </c>
      <c r="J9" s="9" t="s">
        <v>24</v>
      </c>
      <c r="K9" s="9">
        <v>4</v>
      </c>
      <c r="L9" s="9" t="s">
        <v>24</v>
      </c>
      <c r="M9" s="9" t="str">
        <f>LEFT(A9,2)&amp;LEFT(B9,1)&amp;TEXT(F9,"000")&amp;"-"&amp;(G9)&amp;H9&amp;(K9)&amp;L9</f>
        <v>EuD008-0d4s</v>
      </c>
      <c r="N9" s="9">
        <v>2</v>
      </c>
      <c r="O9" s="2" t="str">
        <f t="shared" si="0"/>
        <v>O dia inteiro, a cada 1 semana, por um período de 4 semanas</v>
      </c>
    </row>
    <row r="10" spans="1:15" x14ac:dyDescent="0.25">
      <c r="A10" s="2" t="s">
        <v>19</v>
      </c>
      <c r="B10" s="2" t="s">
        <v>39</v>
      </c>
      <c r="C10" s="2" t="s">
        <v>106</v>
      </c>
      <c r="D10" s="9">
        <v>6</v>
      </c>
      <c r="E10" s="9">
        <v>1</v>
      </c>
      <c r="F10" s="9">
        <v>5</v>
      </c>
      <c r="G10" s="9"/>
      <c r="H10" s="9"/>
      <c r="I10" s="9"/>
      <c r="J10" s="9"/>
      <c r="K10" s="9"/>
      <c r="L10" s="9"/>
      <c r="M10" s="9" t="str">
        <f>LEFT(A10,2)&amp;LEFT(B10,1)&amp;TEXT(F10,"000")&amp;"-"&amp;(G10)&amp;H10&amp;(K10)&amp;L10</f>
        <v>EuB005-</v>
      </c>
      <c r="N10" s="9"/>
      <c r="O10" s="2" t="str">
        <f t="shared" si="0"/>
        <v>Fique atento para a primeira oportunidade que surgir</v>
      </c>
    </row>
    <row r="11" spans="1:15" x14ac:dyDescent="0.25">
      <c r="A11" s="2" t="s">
        <v>19</v>
      </c>
      <c r="B11" s="2" t="s">
        <v>57</v>
      </c>
      <c r="C11" s="2" t="s">
        <v>129</v>
      </c>
      <c r="D11" s="9">
        <v>6</v>
      </c>
      <c r="E11" s="9">
        <v>3</v>
      </c>
      <c r="F11" s="9">
        <v>10</v>
      </c>
      <c r="G11" s="9">
        <v>0</v>
      </c>
      <c r="H11" s="9" t="s">
        <v>23</v>
      </c>
      <c r="I11" s="9">
        <v>8</v>
      </c>
      <c r="J11" s="9" t="s">
        <v>24</v>
      </c>
      <c r="K11" s="9">
        <v>8</v>
      </c>
      <c r="L11" s="9" t="s">
        <v>24</v>
      </c>
      <c r="M11" s="9" t="str">
        <f>LEFT(A11,2)&amp;LEFT(B11,1)&amp;TEXT(F11,"000")&amp;"-"&amp;(G11)&amp;H11&amp;(K11)&amp;L11</f>
        <v>EuA010-0d8s</v>
      </c>
      <c r="N11" s="9">
        <v>3</v>
      </c>
      <c r="O11" s="2" t="str">
        <f t="shared" si="0"/>
        <v>O dia inteiro, a cada 8 semanas, por um período de 8 semanas</v>
      </c>
    </row>
    <row r="12" spans="1:15" x14ac:dyDescent="0.25">
      <c r="A12" s="2" t="s">
        <v>19</v>
      </c>
      <c r="B12" s="2" t="s">
        <v>48</v>
      </c>
      <c r="C12" s="2" t="s">
        <v>114</v>
      </c>
      <c r="D12" s="9">
        <v>6</v>
      </c>
      <c r="E12" s="9">
        <v>2</v>
      </c>
      <c r="F12" s="9">
        <v>5</v>
      </c>
      <c r="G12" s="9">
        <v>1</v>
      </c>
      <c r="H12" s="9" t="s">
        <v>24</v>
      </c>
      <c r="I12" s="9"/>
      <c r="J12" s="9"/>
      <c r="K12" s="9">
        <v>4</v>
      </c>
      <c r="L12" s="9" t="s">
        <v>24</v>
      </c>
      <c r="M12" s="9" t="str">
        <f>LEFT(A12,2)&amp;LEFT(B12,1)&amp;TEXT(F12,"000")&amp;"-"&amp;(G12)&amp;H12&amp;(K12)&amp;L12</f>
        <v>EuD005-1s4s</v>
      </c>
      <c r="N12" s="9">
        <v>2</v>
      </c>
      <c r="O12" s="2" t="str">
        <f t="shared" si="0"/>
        <v>Uma vez por semana por um período de 4 semanas</v>
      </c>
    </row>
    <row r="13" spans="1:15" x14ac:dyDescent="0.25">
      <c r="A13" s="2" t="s">
        <v>19</v>
      </c>
      <c r="B13" s="2" t="s">
        <v>57</v>
      </c>
      <c r="C13" s="2" t="s">
        <v>128</v>
      </c>
      <c r="D13" s="9">
        <v>6</v>
      </c>
      <c r="E13" s="9">
        <v>3</v>
      </c>
      <c r="F13" s="9">
        <v>9</v>
      </c>
      <c r="G13" s="9">
        <v>1</v>
      </c>
      <c r="H13" s="9" t="s">
        <v>23</v>
      </c>
      <c r="I13" s="9">
        <v>3</v>
      </c>
      <c r="J13" s="9" t="s">
        <v>24</v>
      </c>
      <c r="K13" s="9">
        <v>3</v>
      </c>
      <c r="L13" s="9" t="s">
        <v>24</v>
      </c>
      <c r="M13" s="9" t="str">
        <f>LEFT(A13,2)&amp;LEFT(B13,1)&amp;TEXT(F13,"000")&amp;"-"&amp;(G13)&amp;H13&amp;(K13)&amp;L13</f>
        <v>EuA009-1d3s</v>
      </c>
      <c r="N13" s="9">
        <v>3</v>
      </c>
      <c r="O13" s="2" t="str">
        <f t="shared" si="0"/>
        <v>Uma vez por dia, a cada 3 semanas, por um período de 3 semanas</v>
      </c>
    </row>
    <row r="14" spans="1:15" x14ac:dyDescent="0.25">
      <c r="A14" s="2" t="s">
        <v>19</v>
      </c>
      <c r="B14" s="2" t="s">
        <v>39</v>
      </c>
      <c r="C14" s="2" t="s">
        <v>240</v>
      </c>
      <c r="D14" s="9">
        <v>6</v>
      </c>
      <c r="E14" s="9">
        <v>1</v>
      </c>
      <c r="F14" s="9">
        <v>5</v>
      </c>
      <c r="G14" s="9">
        <v>1</v>
      </c>
      <c r="H14" s="9" t="s">
        <v>23</v>
      </c>
      <c r="I14" s="9"/>
      <c r="J14" s="9"/>
      <c r="K14" s="9">
        <v>3</v>
      </c>
      <c r="L14" s="9" t="s">
        <v>24</v>
      </c>
      <c r="M14" s="9" t="str">
        <f>LEFT(A14,2)&amp;LEFT(B14,1)&amp;TEXT(F14,"000")&amp;"-"&amp;(G14)&amp;H14&amp;(K14)&amp;L14</f>
        <v>EuB005-1d3s</v>
      </c>
      <c r="N14" s="9">
        <v>1</v>
      </c>
      <c r="O14" s="2" t="str">
        <f t="shared" si="0"/>
        <v>Uma vez por dia por um período de 3 semanas</v>
      </c>
    </row>
    <row r="15" spans="1:15" x14ac:dyDescent="0.25">
      <c r="A15" s="2" t="s">
        <v>19</v>
      </c>
      <c r="B15" s="2" t="s">
        <v>57</v>
      </c>
      <c r="C15" s="2" t="s">
        <v>131</v>
      </c>
      <c r="D15" s="9">
        <v>6</v>
      </c>
      <c r="E15" s="9">
        <v>3</v>
      </c>
      <c r="F15" s="9">
        <v>12</v>
      </c>
      <c r="G15" s="9">
        <v>1</v>
      </c>
      <c r="H15" s="9" t="s">
        <v>23</v>
      </c>
      <c r="I15" s="9"/>
      <c r="J15" s="9"/>
      <c r="K15" s="9">
        <v>1</v>
      </c>
      <c r="L15" s="9" t="s">
        <v>23</v>
      </c>
      <c r="M15" s="9" t="str">
        <f>LEFT(A15,2)&amp;LEFT(B15,1)&amp;TEXT(F15,"000")&amp;"-"&amp;(G15)&amp;H15&amp;(K15)&amp;L15</f>
        <v>EuA012-1d1d</v>
      </c>
      <c r="N15" s="9">
        <v>3</v>
      </c>
      <c r="O15" s="2" t="str">
        <f t="shared" si="0"/>
        <v>Pelo menos uma vez</v>
      </c>
    </row>
    <row r="16" spans="1:15" x14ac:dyDescent="0.25">
      <c r="A16" s="2" t="s">
        <v>19</v>
      </c>
      <c r="B16" s="2" t="s">
        <v>39</v>
      </c>
      <c r="C16" s="2" t="s">
        <v>108</v>
      </c>
      <c r="D16" s="9">
        <v>6</v>
      </c>
      <c r="E16" s="9">
        <v>1</v>
      </c>
      <c r="F16" s="9">
        <v>7</v>
      </c>
      <c r="G16" s="9">
        <v>3</v>
      </c>
      <c r="H16" s="9" t="s">
        <v>23</v>
      </c>
      <c r="I16" s="9"/>
      <c r="J16" s="9"/>
      <c r="K16" s="9">
        <v>3</v>
      </c>
      <c r="L16" s="9" t="s">
        <v>24</v>
      </c>
      <c r="M16" s="9" t="str">
        <f>LEFT(A16,2)&amp;LEFT(B16,1)&amp;TEXT(F16,"000")&amp;"-"&amp;(G16)&amp;H16&amp;(K16)&amp;L16</f>
        <v>EuB007-3d3s</v>
      </c>
      <c r="N16" s="9">
        <v>1</v>
      </c>
      <c r="O16" s="2" t="str">
        <f t="shared" si="0"/>
        <v>3 vezes por dia por um período de 3 semanas</v>
      </c>
    </row>
    <row r="17" spans="1:15" x14ac:dyDescent="0.25">
      <c r="A17" s="2" t="s">
        <v>19</v>
      </c>
      <c r="B17" s="2" t="s">
        <v>57</v>
      </c>
      <c r="C17" s="2" t="s">
        <v>133</v>
      </c>
      <c r="D17" s="9">
        <v>6</v>
      </c>
      <c r="E17" s="9">
        <v>3</v>
      </c>
      <c r="F17" s="9">
        <v>14</v>
      </c>
      <c r="G17" s="9">
        <v>1</v>
      </c>
      <c r="H17" s="9" t="s">
        <v>23</v>
      </c>
      <c r="I17" s="9"/>
      <c r="J17" s="9"/>
      <c r="K17" s="9">
        <v>14</v>
      </c>
      <c r="L17" s="9" t="s">
        <v>23</v>
      </c>
      <c r="M17" s="9" t="str">
        <f>LEFT(A17,2)&amp;LEFT(B17,1)&amp;TEXT(F17,"000")&amp;"-"&amp;(G17)&amp;H17&amp;(K17)&amp;L17</f>
        <v>EuA014-1d14d</v>
      </c>
      <c r="N17" s="9">
        <v>3</v>
      </c>
      <c r="O17" s="2" t="str">
        <f t="shared" si="0"/>
        <v>Uma vez por dia por um período de 14 dias</v>
      </c>
    </row>
    <row r="18" spans="1:15" x14ac:dyDescent="0.25">
      <c r="A18" s="2" t="s">
        <v>19</v>
      </c>
      <c r="B18" s="2" t="s">
        <v>244</v>
      </c>
      <c r="C18" s="2" t="s">
        <v>104</v>
      </c>
      <c r="D18" s="9">
        <v>6</v>
      </c>
      <c r="E18" s="9">
        <v>1</v>
      </c>
      <c r="F18" s="9">
        <v>3</v>
      </c>
      <c r="G18" s="9">
        <v>1</v>
      </c>
      <c r="H18" s="9" t="s">
        <v>23</v>
      </c>
      <c r="I18" s="9"/>
      <c r="J18" s="9"/>
      <c r="K18" s="9">
        <v>3</v>
      </c>
      <c r="L18" s="9" t="s">
        <v>24</v>
      </c>
      <c r="M18" s="9" t="str">
        <f>LEFT(A18,2)&amp;LEFT(B18,1)&amp;TEXT(F18,"000")&amp;"-"&amp;(G18)&amp;H18&amp;(K18)&amp;L18</f>
        <v>EuB003-1d3s</v>
      </c>
      <c r="N18" s="9">
        <v>1</v>
      </c>
      <c r="O18" s="2" t="str">
        <f t="shared" si="0"/>
        <v>Uma vez por dia por um período de 3 semanas</v>
      </c>
    </row>
    <row r="19" spans="1:15" x14ac:dyDescent="0.25">
      <c r="A19" s="2" t="s">
        <v>19</v>
      </c>
      <c r="B19" s="2" t="s">
        <v>48</v>
      </c>
      <c r="C19" s="2" t="s">
        <v>110</v>
      </c>
      <c r="D19" s="9">
        <v>6</v>
      </c>
      <c r="E19" s="9">
        <v>2</v>
      </c>
      <c r="F19" s="9">
        <v>1</v>
      </c>
      <c r="G19" s="9">
        <v>1</v>
      </c>
      <c r="H19" s="9" t="s">
        <v>23</v>
      </c>
      <c r="I19" s="9"/>
      <c r="J19" s="9"/>
      <c r="K19" s="9">
        <v>3</v>
      </c>
      <c r="L19" s="9" t="s">
        <v>24</v>
      </c>
      <c r="M19" s="9" t="str">
        <f>LEFT(A19,2)&amp;LEFT(B19,1)&amp;TEXT(F19,"000")&amp;"-"&amp;(G19)&amp;H19&amp;(K19)&amp;L19</f>
        <v>EuD001-1d3s</v>
      </c>
      <c r="N19" s="9">
        <v>2</v>
      </c>
      <c r="O19" s="2" t="str">
        <f t="shared" si="0"/>
        <v>Uma vez por dia por um período de 3 semanas</v>
      </c>
    </row>
    <row r="20" spans="1:15" x14ac:dyDescent="0.25">
      <c r="A20" s="2" t="s">
        <v>19</v>
      </c>
      <c r="B20" s="2" t="s">
        <v>57</v>
      </c>
      <c r="C20" s="2" t="s">
        <v>130</v>
      </c>
      <c r="D20" s="9">
        <v>6</v>
      </c>
      <c r="E20" s="9">
        <v>3</v>
      </c>
      <c r="F20" s="9">
        <v>11</v>
      </c>
      <c r="G20" s="9">
        <v>1</v>
      </c>
      <c r="H20" s="9" t="s">
        <v>23</v>
      </c>
      <c r="I20" s="9"/>
      <c r="J20" s="9"/>
      <c r="K20" s="9">
        <v>0</v>
      </c>
      <c r="L20" s="9" t="s">
        <v>23</v>
      </c>
      <c r="M20" s="9" t="str">
        <f>LEFT(A20,2)&amp;LEFT(B20,1)&amp;TEXT(F20,"000")&amp;"-"&amp;(G20)&amp;H20&amp;(K20)&amp;L20</f>
        <v>EuA011-1d0d</v>
      </c>
      <c r="N20" s="9">
        <v>3</v>
      </c>
      <c r="O20" s="2" t="str">
        <f t="shared" si="0"/>
        <v>Uma vez por dia por um período de 0 dias</v>
      </c>
    </row>
    <row r="21" spans="1:15" x14ac:dyDescent="0.25">
      <c r="A21" s="2" t="s">
        <v>19</v>
      </c>
      <c r="B21" s="2" t="s">
        <v>57</v>
      </c>
      <c r="C21" s="2" t="s">
        <v>121</v>
      </c>
      <c r="D21" s="9">
        <v>6</v>
      </c>
      <c r="E21" s="9">
        <v>3</v>
      </c>
      <c r="F21" s="9">
        <v>2</v>
      </c>
      <c r="G21" s="9">
        <v>1</v>
      </c>
      <c r="H21" s="9" t="s">
        <v>23</v>
      </c>
      <c r="I21" s="9"/>
      <c r="J21" s="9"/>
      <c r="K21" s="9">
        <v>2</v>
      </c>
      <c r="L21" s="9" t="s">
        <v>24</v>
      </c>
      <c r="M21" s="9" t="str">
        <f>LEFT(A21,2)&amp;LEFT(B21,1)&amp;TEXT(F21,"000")&amp;"-"&amp;(G21)&amp;H21&amp;(K21)&amp;L21</f>
        <v>EuA002-1d2s</v>
      </c>
      <c r="N21" s="9">
        <v>3</v>
      </c>
      <c r="O21" s="2" t="str">
        <f t="shared" si="0"/>
        <v>Uma vez por dia por um período de 2 semanas</v>
      </c>
    </row>
    <row r="22" spans="1:15" x14ac:dyDescent="0.25">
      <c r="A22" s="2" t="s">
        <v>19</v>
      </c>
      <c r="B22" s="2" t="s">
        <v>57</v>
      </c>
      <c r="C22" s="2" t="s">
        <v>127</v>
      </c>
      <c r="D22" s="9">
        <v>6</v>
      </c>
      <c r="E22" s="9">
        <v>3</v>
      </c>
      <c r="F22" s="9">
        <v>8</v>
      </c>
      <c r="G22" s="9">
        <v>1</v>
      </c>
      <c r="H22" s="9" t="s">
        <v>23</v>
      </c>
      <c r="I22" s="9">
        <v>3</v>
      </c>
      <c r="J22" s="9" t="s">
        <v>24</v>
      </c>
      <c r="K22" s="9">
        <v>3</v>
      </c>
      <c r="L22" s="9" t="s">
        <v>24</v>
      </c>
      <c r="M22" s="9" t="str">
        <f>LEFT(A22,2)&amp;LEFT(B22,1)&amp;TEXT(F22,"000")&amp;"-"&amp;(G22)&amp;H22&amp;(K22)&amp;L22</f>
        <v>EuA008-1d3s</v>
      </c>
      <c r="N22" s="9">
        <v>3</v>
      </c>
      <c r="O22" s="2" t="str">
        <f t="shared" si="0"/>
        <v>Uma vez por dia, a cada 3 semanas, por um período de 3 semanas</v>
      </c>
    </row>
    <row r="23" spans="1:15" x14ac:dyDescent="0.25">
      <c r="A23" s="2" t="s">
        <v>19</v>
      </c>
      <c r="B23" s="2" t="s">
        <v>48</v>
      </c>
      <c r="C23" s="2" t="s">
        <v>118</v>
      </c>
      <c r="D23" s="9">
        <v>6</v>
      </c>
      <c r="E23" s="9">
        <v>2</v>
      </c>
      <c r="F23" s="9">
        <v>9</v>
      </c>
      <c r="G23" s="9">
        <v>1</v>
      </c>
      <c r="H23" s="9" t="s">
        <v>23</v>
      </c>
      <c r="I23" s="9">
        <v>3</v>
      </c>
      <c r="J23" s="9" t="s">
        <v>23</v>
      </c>
      <c r="K23" s="9">
        <v>4</v>
      </c>
      <c r="L23" s="9" t="s">
        <v>24</v>
      </c>
      <c r="M23" s="9" t="str">
        <f>LEFT(A23,2)&amp;LEFT(B23,1)&amp;TEXT(F23,"000")&amp;"-"&amp;(G23)&amp;H23&amp;(K23)&amp;L23</f>
        <v>EuD009-1d4s</v>
      </c>
      <c r="N23" s="9">
        <v>2</v>
      </c>
      <c r="O23" s="2" t="str">
        <f t="shared" si="0"/>
        <v>Uma vez por dia, a cada 3 dias, por um período de 4 semanas</v>
      </c>
    </row>
    <row r="24" spans="1:15" x14ac:dyDescent="0.25">
      <c r="A24" s="2" t="s">
        <v>19</v>
      </c>
      <c r="B24" s="2" t="s">
        <v>57</v>
      </c>
      <c r="C24" s="2" t="s">
        <v>123</v>
      </c>
      <c r="D24" s="9">
        <v>6</v>
      </c>
      <c r="E24" s="9">
        <v>3</v>
      </c>
      <c r="F24" s="9">
        <v>4</v>
      </c>
      <c r="G24" s="9">
        <v>0</v>
      </c>
      <c r="H24" s="9" t="s">
        <v>23</v>
      </c>
      <c r="I24" s="9"/>
      <c r="J24" s="9"/>
      <c r="K24" s="9">
        <v>6</v>
      </c>
      <c r="L24" s="9" t="s">
        <v>24</v>
      </c>
      <c r="M24" s="9" t="str">
        <f>LEFT(A24,2)&amp;LEFT(B24,1)&amp;TEXT(F24,"000")&amp;"-"&amp;(G24)&amp;H24&amp;(K24)&amp;L24</f>
        <v>EuA004-0d6s</v>
      </c>
      <c r="N24" s="9">
        <v>3</v>
      </c>
      <c r="O24" s="2" t="str">
        <f t="shared" si="0"/>
        <v>O dia inteiro por um período de 6 semanas</v>
      </c>
    </row>
    <row r="25" spans="1:15" x14ac:dyDescent="0.25">
      <c r="A25" s="2" t="s">
        <v>19</v>
      </c>
      <c r="B25" s="2" t="s">
        <v>48</v>
      </c>
      <c r="C25" s="2" t="s">
        <v>241</v>
      </c>
      <c r="D25" s="9">
        <v>6</v>
      </c>
      <c r="E25" s="9">
        <v>2</v>
      </c>
      <c r="F25" s="9">
        <v>10</v>
      </c>
      <c r="G25" s="9">
        <v>0</v>
      </c>
      <c r="H25" s="9" t="s">
        <v>23</v>
      </c>
      <c r="I25" s="9"/>
      <c r="J25" s="9"/>
      <c r="K25" s="9">
        <v>1</v>
      </c>
      <c r="L25" s="9" t="s">
        <v>24</v>
      </c>
      <c r="M25" s="9" t="str">
        <f>LEFT(A25,2)&amp;LEFT(B25,1)&amp;TEXT(F25,"000")&amp;"-"&amp;(G25)&amp;H25&amp;(K25)&amp;L25</f>
        <v>EuD010-0d1s</v>
      </c>
      <c r="N25" s="9">
        <v>2</v>
      </c>
      <c r="O25" s="2" t="str">
        <f t="shared" si="0"/>
        <v>O dia inteiro por um período de 1 semana</v>
      </c>
    </row>
    <row r="26" spans="1:15" x14ac:dyDescent="0.25">
      <c r="A26" s="2" t="s">
        <v>19</v>
      </c>
      <c r="B26" s="2" t="s">
        <v>48</v>
      </c>
      <c r="C26" s="2" t="s">
        <v>119</v>
      </c>
      <c r="D26" s="9">
        <v>6</v>
      </c>
      <c r="E26" s="9">
        <v>2</v>
      </c>
      <c r="F26" s="9">
        <v>12</v>
      </c>
      <c r="G26" s="9">
        <v>1</v>
      </c>
      <c r="H26" s="9" t="s">
        <v>23</v>
      </c>
      <c r="I26" s="9"/>
      <c r="J26" s="9"/>
      <c r="K26" s="9">
        <v>1</v>
      </c>
      <c r="L26" s="9" t="s">
        <v>24</v>
      </c>
      <c r="M26" s="9" t="str">
        <f>LEFT(A26,2)&amp;LEFT(B26,1)&amp;TEXT(F26,"000")&amp;"-"&amp;(G26)&amp;H26&amp;(K26)&amp;L26</f>
        <v>EuD012-1d1s</v>
      </c>
      <c r="N26" s="9">
        <v>2</v>
      </c>
      <c r="O26" s="2" t="str">
        <f t="shared" si="0"/>
        <v>Uma vez por dia por um período de 1 semana</v>
      </c>
    </row>
    <row r="27" spans="1:15" x14ac:dyDescent="0.25">
      <c r="A27" s="2" t="s">
        <v>19</v>
      </c>
      <c r="B27" s="2" t="s">
        <v>39</v>
      </c>
      <c r="C27" s="2" t="s">
        <v>109</v>
      </c>
      <c r="D27" s="9">
        <v>6</v>
      </c>
      <c r="E27" s="9">
        <v>1</v>
      </c>
      <c r="F27" s="9">
        <v>10</v>
      </c>
      <c r="G27" s="9">
        <v>1</v>
      </c>
      <c r="H27" s="9" t="s">
        <v>23</v>
      </c>
      <c r="I27" s="9"/>
      <c r="J27" s="9"/>
      <c r="K27" s="9">
        <v>3</v>
      </c>
      <c r="L27" s="9" t="s">
        <v>24</v>
      </c>
      <c r="M27" s="9" t="str">
        <f>LEFT(A27,2)&amp;LEFT(B27,1)&amp;TEXT(F27,"000")&amp;"-"&amp;(G27)&amp;H27&amp;(K27)&amp;L27</f>
        <v>EuB010-1d3s</v>
      </c>
      <c r="N27" s="9">
        <v>1</v>
      </c>
      <c r="O27" s="2" t="str">
        <f t="shared" si="0"/>
        <v>Uma vez por dia por um período de 3 semanas</v>
      </c>
    </row>
    <row r="28" spans="1:15" x14ac:dyDescent="0.25">
      <c r="A28" s="2" t="s">
        <v>19</v>
      </c>
      <c r="B28" s="2" t="s">
        <v>48</v>
      </c>
      <c r="C28" s="2" t="s">
        <v>112</v>
      </c>
      <c r="D28" s="9">
        <v>6</v>
      </c>
      <c r="E28" s="9">
        <v>2</v>
      </c>
      <c r="F28" s="9">
        <v>3</v>
      </c>
      <c r="G28" s="9">
        <v>1</v>
      </c>
      <c r="H28" s="9" t="s">
        <v>23</v>
      </c>
      <c r="I28" s="9">
        <v>1</v>
      </c>
      <c r="J28" s="9" t="s">
        <v>24</v>
      </c>
      <c r="K28" s="9">
        <v>2</v>
      </c>
      <c r="L28" s="9" t="s">
        <v>24</v>
      </c>
      <c r="M28" s="9" t="str">
        <f>LEFT(A28,2)&amp;LEFT(B28,1)&amp;TEXT(F28,"000")&amp;"-"&amp;(G28)&amp;H28&amp;(K28)&amp;L28</f>
        <v>EuD003-1d2s</v>
      </c>
      <c r="N28" s="9">
        <v>2</v>
      </c>
      <c r="O28" s="2" t="str">
        <f t="shared" si="0"/>
        <v>Uma vez por dia, a cada 1 semana, por um período de 2 semanas</v>
      </c>
    </row>
    <row r="29" spans="1:15" x14ac:dyDescent="0.25">
      <c r="A29" s="2" t="s">
        <v>19</v>
      </c>
      <c r="B29" s="2" t="s">
        <v>48</v>
      </c>
      <c r="C29" s="2" t="s">
        <v>111</v>
      </c>
      <c r="D29" s="9">
        <v>6</v>
      </c>
      <c r="E29" s="9">
        <v>2</v>
      </c>
      <c r="F29" s="9">
        <v>2</v>
      </c>
      <c r="G29" s="9">
        <v>1</v>
      </c>
      <c r="H29" s="9" t="s">
        <v>23</v>
      </c>
      <c r="I29" s="9"/>
      <c r="J29" s="9"/>
      <c r="K29" s="9">
        <v>3</v>
      </c>
      <c r="L29" s="9" t="s">
        <v>24</v>
      </c>
      <c r="M29" s="9" t="str">
        <f>LEFT(A29,2)&amp;LEFT(B29,1)&amp;TEXT(F29,"000")&amp;"-"&amp;(G29)&amp;H29&amp;(K29)&amp;L29</f>
        <v>EuD002-1d3s</v>
      </c>
      <c r="N29" s="9">
        <v>2</v>
      </c>
      <c r="O29" s="2" t="str">
        <f t="shared" si="0"/>
        <v>Uma vez por dia por um período de 3 semanas</v>
      </c>
    </row>
    <row r="30" spans="1:15" x14ac:dyDescent="0.25">
      <c r="A30" s="2" t="s">
        <v>19</v>
      </c>
      <c r="B30" s="2" t="s">
        <v>57</v>
      </c>
      <c r="C30" s="2" t="s">
        <v>132</v>
      </c>
      <c r="D30" s="9">
        <v>6</v>
      </c>
      <c r="E30" s="9">
        <v>3</v>
      </c>
      <c r="F30" s="9">
        <v>13</v>
      </c>
      <c r="G30" s="9">
        <v>3</v>
      </c>
      <c r="H30" s="9" t="s">
        <v>23</v>
      </c>
      <c r="I30" s="9"/>
      <c r="J30" s="9"/>
      <c r="K30" s="9">
        <v>3</v>
      </c>
      <c r="L30" s="9" t="s">
        <v>24</v>
      </c>
      <c r="M30" s="9" t="str">
        <f>LEFT(A30,2)&amp;LEFT(B30,1)&amp;TEXT(F30,"000")&amp;"-"&amp;(G30)&amp;H30&amp;(K30)&amp;L30</f>
        <v>EuA013-3d3s</v>
      </c>
      <c r="N30" s="9">
        <v>3</v>
      </c>
      <c r="O30" s="2" t="str">
        <f t="shared" si="0"/>
        <v>3 vezes por dia por um período de 3 semanas</v>
      </c>
    </row>
    <row r="31" spans="1:15" x14ac:dyDescent="0.25">
      <c r="A31" s="2" t="s">
        <v>19</v>
      </c>
      <c r="B31" s="2" t="s">
        <v>48</v>
      </c>
      <c r="C31" s="2" t="s">
        <v>115</v>
      </c>
      <c r="D31" s="9">
        <v>6</v>
      </c>
      <c r="E31" s="9">
        <v>2</v>
      </c>
      <c r="F31" s="9">
        <v>6</v>
      </c>
      <c r="G31" s="9">
        <v>1</v>
      </c>
      <c r="H31" s="9" t="s">
        <v>24</v>
      </c>
      <c r="I31" s="9">
        <v>2</v>
      </c>
      <c r="J31" s="9" t="s">
        <v>24</v>
      </c>
      <c r="K31" s="9">
        <v>4</v>
      </c>
      <c r="L31" s="9" t="s">
        <v>24</v>
      </c>
      <c r="M31" s="9" t="str">
        <f>LEFT(A31,2)&amp;LEFT(B31,1)&amp;TEXT(F31,"000")&amp;"-"&amp;(G31)&amp;H31&amp;(K31)&amp;L31</f>
        <v>EuD006-1s4s</v>
      </c>
      <c r="N31" s="9">
        <v>2</v>
      </c>
      <c r="O31" s="2" t="str">
        <f t="shared" si="0"/>
        <v>Uma vez por semana, a cada 2 semanas, por um período de 4 semanas</v>
      </c>
    </row>
    <row r="32" spans="1:15" x14ac:dyDescent="0.25">
      <c r="A32" s="2" t="s">
        <v>19</v>
      </c>
      <c r="B32" s="2" t="s">
        <v>57</v>
      </c>
      <c r="C32" s="2" t="s">
        <v>124</v>
      </c>
      <c r="D32" s="9">
        <v>6</v>
      </c>
      <c r="E32" s="9">
        <v>3</v>
      </c>
      <c r="F32" s="9">
        <v>5</v>
      </c>
      <c r="G32" s="9">
        <v>1</v>
      </c>
      <c r="H32" s="9" t="s">
        <v>23</v>
      </c>
      <c r="I32" s="9"/>
      <c r="J32" s="9"/>
      <c r="K32" s="9">
        <v>21</v>
      </c>
      <c r="L32" s="9" t="s">
        <v>23</v>
      </c>
      <c r="M32" s="9" t="str">
        <f>LEFT(A32,2)&amp;LEFT(B32,1)&amp;TEXT(F32,"000")&amp;"-"&amp;(G32)&amp;H32&amp;(K32)&amp;L32</f>
        <v>EuA005-1d21d</v>
      </c>
      <c r="N32" s="9">
        <v>3</v>
      </c>
      <c r="O32" s="2" t="str">
        <f t="shared" si="0"/>
        <v>Uma vez por dia por um período de 21 dias</v>
      </c>
    </row>
    <row r="33" spans="1:15" x14ac:dyDescent="0.25">
      <c r="A33" s="2" t="s">
        <v>19</v>
      </c>
      <c r="B33" s="2" t="s">
        <v>48</v>
      </c>
      <c r="C33" s="2" t="s">
        <v>113</v>
      </c>
      <c r="D33" s="9">
        <v>6</v>
      </c>
      <c r="E33" s="9">
        <v>2</v>
      </c>
      <c r="F33" s="9">
        <v>4</v>
      </c>
      <c r="G33" s="9">
        <v>1</v>
      </c>
      <c r="H33" s="9" t="s">
        <v>23</v>
      </c>
      <c r="I33" s="9">
        <v>3</v>
      </c>
      <c r="J33" s="9" t="s">
        <v>24</v>
      </c>
      <c r="K33" s="9">
        <v>3</v>
      </c>
      <c r="L33" s="9" t="s">
        <v>24</v>
      </c>
      <c r="M33" s="9" t="str">
        <f>LEFT(A33,2)&amp;LEFT(B33,1)&amp;TEXT(F33,"000")&amp;"-"&amp;(G33)&amp;H33&amp;(K33)&amp;L33</f>
        <v>EuD004-1d3s</v>
      </c>
      <c r="N33" s="9">
        <v>2</v>
      </c>
      <c r="O33" s="2" t="str">
        <f t="shared" si="0"/>
        <v>Uma vez por dia, a cada 3 semanas, por um período de 3 semanas</v>
      </c>
    </row>
    <row r="34" spans="1:15" x14ac:dyDescent="0.25">
      <c r="A34" s="2" t="s">
        <v>19</v>
      </c>
      <c r="B34" s="2" t="s">
        <v>57</v>
      </c>
      <c r="C34" s="2" t="s">
        <v>126</v>
      </c>
      <c r="D34" s="9">
        <v>6</v>
      </c>
      <c r="E34" s="9">
        <v>3</v>
      </c>
      <c r="F34" s="9">
        <v>7</v>
      </c>
      <c r="G34" s="9">
        <v>1</v>
      </c>
      <c r="H34" s="9" t="s">
        <v>23</v>
      </c>
      <c r="I34" s="9"/>
      <c r="J34" s="9"/>
      <c r="K34" s="9">
        <v>0</v>
      </c>
      <c r="L34" s="9" t="s">
        <v>23</v>
      </c>
      <c r="M34" s="9" t="str">
        <f>LEFT(A34,2)&amp;LEFT(B34,1)&amp;TEXT(F34,"000")&amp;"-"&amp;(G34)&amp;H34&amp;(K34)&amp;L34</f>
        <v>EuA007-1d0d</v>
      </c>
      <c r="N34" s="9">
        <v>3</v>
      </c>
      <c r="O34" s="2" t="str">
        <f t="shared" si="0"/>
        <v>Uma vez por dia por um período de 0 dias</v>
      </c>
    </row>
    <row r="35" spans="1:15" x14ac:dyDescent="0.25">
      <c r="A35" s="2" t="s">
        <v>19</v>
      </c>
      <c r="B35" s="2" t="s">
        <v>48</v>
      </c>
      <c r="C35" s="2" t="s">
        <v>245</v>
      </c>
      <c r="D35" s="9">
        <v>6</v>
      </c>
      <c r="E35" s="9">
        <v>2</v>
      </c>
      <c r="F35" s="9">
        <v>11</v>
      </c>
      <c r="G35" s="9">
        <v>0</v>
      </c>
      <c r="H35" s="9" t="s">
        <v>23</v>
      </c>
      <c r="I35" s="9"/>
      <c r="J35" s="9"/>
      <c r="K35" s="9">
        <v>3</v>
      </c>
      <c r="L35" s="9" t="s">
        <v>23</v>
      </c>
      <c r="M35" s="9" t="str">
        <f>LEFT(A35,2)&amp;LEFT(B35,1)&amp;TEXT(F35,"000")&amp;"-"&amp;(G35)&amp;H35&amp;(K35)&amp;L35</f>
        <v>EuD011-0d3d</v>
      </c>
      <c r="N35" s="9">
        <v>2</v>
      </c>
      <c r="O35" s="2" t="str">
        <f t="shared" si="0"/>
        <v>O dia inteiro por um período de 3 dias</v>
      </c>
    </row>
    <row r="36" spans="1:15" x14ac:dyDescent="0.25">
      <c r="A36" s="2" t="s">
        <v>19</v>
      </c>
      <c r="B36" s="2" t="s">
        <v>39</v>
      </c>
      <c r="C36" s="2" t="s">
        <v>239</v>
      </c>
      <c r="D36" s="9">
        <v>6</v>
      </c>
      <c r="E36" s="9">
        <v>1</v>
      </c>
      <c r="F36" s="9">
        <v>8</v>
      </c>
      <c r="G36" s="9">
        <v>0</v>
      </c>
      <c r="H36" s="9" t="s">
        <v>23</v>
      </c>
      <c r="I36" s="9"/>
      <c r="J36" s="9"/>
      <c r="K36" s="9">
        <v>3</v>
      </c>
      <c r="L36" s="9" t="s">
        <v>24</v>
      </c>
      <c r="M36" s="9" t="str">
        <f>LEFT(A36,2)&amp;LEFT(B36,1)&amp;TEXT(F36,"000")&amp;"-"&amp;(G36)&amp;H36&amp;(K36)&amp;L36</f>
        <v>EuB008-0d3s</v>
      </c>
      <c r="N36" s="9">
        <v>1</v>
      </c>
      <c r="O36" s="2" t="str">
        <f t="shared" si="0"/>
        <v>O dia inteiro por um período de 3 semanas</v>
      </c>
    </row>
    <row r="37" spans="1:15" x14ac:dyDescent="0.25">
      <c r="A37" s="2" t="s">
        <v>19</v>
      </c>
      <c r="B37" s="2" t="s">
        <v>39</v>
      </c>
      <c r="C37" s="2" t="s">
        <v>105</v>
      </c>
      <c r="D37" s="9">
        <v>6</v>
      </c>
      <c r="E37" s="9">
        <v>1</v>
      </c>
      <c r="F37" s="9">
        <v>4</v>
      </c>
      <c r="G37" s="9">
        <v>1</v>
      </c>
      <c r="H37" s="9" t="s">
        <v>23</v>
      </c>
      <c r="I37" s="9"/>
      <c r="J37" s="9"/>
      <c r="K37" s="9">
        <v>1</v>
      </c>
      <c r="L37" s="9" t="s">
        <v>24</v>
      </c>
      <c r="M37" s="9" t="str">
        <f>LEFT(A37,2)&amp;LEFT(B37,1)&amp;TEXT(F37,"000")&amp;"-"&amp;(G37)&amp;H37&amp;(K37)&amp;L37</f>
        <v>EuB004-1d1s</v>
      </c>
      <c r="N37" s="9">
        <v>1</v>
      </c>
      <c r="O37" s="2" t="str">
        <f t="shared" si="0"/>
        <v>Uma vez por dia por um período de 1 semana</v>
      </c>
    </row>
    <row r="38" spans="1:15" x14ac:dyDescent="0.25">
      <c r="A38" s="2" t="s">
        <v>19</v>
      </c>
      <c r="B38" s="2" t="s">
        <v>39</v>
      </c>
      <c r="C38" s="2" t="s">
        <v>103</v>
      </c>
      <c r="D38" s="9">
        <v>6</v>
      </c>
      <c r="E38" s="9">
        <v>1</v>
      </c>
      <c r="F38" s="9">
        <v>2</v>
      </c>
      <c r="G38" s="9">
        <v>1</v>
      </c>
      <c r="H38" s="9" t="s">
        <v>23</v>
      </c>
      <c r="I38" s="9"/>
      <c r="J38" s="9"/>
      <c r="K38" s="9">
        <v>3</v>
      </c>
      <c r="L38" s="9" t="s">
        <v>24</v>
      </c>
      <c r="M38" s="9" t="str">
        <f>LEFT(A38,2)&amp;LEFT(B38,1)&amp;TEXT(F38,"000")&amp;"-"&amp;(G38)&amp;H38&amp;(K38)&amp;L38</f>
        <v>EuB002-1d3s</v>
      </c>
      <c r="N38" s="9">
        <v>1</v>
      </c>
      <c r="O38" s="2" t="str">
        <f t="shared" si="0"/>
        <v>Uma vez por dia por um período de 3 semanas</v>
      </c>
    </row>
    <row r="39" spans="1:15" x14ac:dyDescent="0.25">
      <c r="A39" s="2" t="s">
        <v>19</v>
      </c>
      <c r="B39" s="2" t="s">
        <v>57</v>
      </c>
      <c r="C39" s="2" t="s">
        <v>122</v>
      </c>
      <c r="D39" s="9">
        <v>6</v>
      </c>
      <c r="E39" s="9">
        <v>3</v>
      </c>
      <c r="F39" s="9">
        <v>3</v>
      </c>
      <c r="G39" s="9">
        <v>1</v>
      </c>
      <c r="H39" s="9" t="s">
        <v>23</v>
      </c>
      <c r="I39" s="9"/>
      <c r="J39" s="9"/>
      <c r="K39" s="9">
        <v>21</v>
      </c>
      <c r="L39" s="9" t="s">
        <v>23</v>
      </c>
      <c r="M39" s="9" t="str">
        <f>LEFT(A39,2)&amp;LEFT(B39,1)&amp;TEXT(F39,"000")&amp;"-"&amp;(G39)&amp;H39&amp;(K39)&amp;L39</f>
        <v>EuA003-1d21d</v>
      </c>
      <c r="N39" s="9">
        <v>3</v>
      </c>
      <c r="O39" s="2" t="str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Uma vez por dia por um período de 3 semanas</v>
      </c>
    </row>
    <row r="41" spans="1:15" x14ac:dyDescent="0.25">
      <c r="A41" s="4" t="s">
        <v>64</v>
      </c>
      <c r="B41" s="4" t="s">
        <v>65</v>
      </c>
    </row>
  </sheetData>
  <sortState xmlns:xlrd2="http://schemas.microsoft.com/office/spreadsheetml/2017/richdata2" ref="A2:K39">
    <sortCondition ref="C2:C39"/>
  </sortState>
  <dataValidations disablePrompts="1" count="1">
    <dataValidation type="whole" operator="greaterThanOrEqual" allowBlank="1" showInputMessage="1" showErrorMessage="1" errorTitle="Número inválido" error="Informe um número inteiro maior ou igual a 0" sqref="D2:D1038 H2:H1038 F2:F1038" xr:uid="{00000000-0002-0000-04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400-000000000000}">
          <x14:formula1>
            <xm:f>_DV!$A$1:$A$2</xm:f>
          </x14:formula1>
          <xm:sqref>E2:E1038 I2:I1038 G2:G1038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C1" zoomScaleNormal="10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.5703125" bestFit="1" customWidth="1"/>
    <col min="2" max="2" width="11.85546875" customWidth="1"/>
    <col min="3" max="3" width="61.42578125" bestFit="1" customWidth="1"/>
    <col min="4" max="12" width="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s="17" customFormat="1" ht="86.25" customHeight="1" x14ac:dyDescent="0.25">
      <c r="A1" s="14" t="s">
        <v>25</v>
      </c>
      <c r="B1" s="14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  <c r="M1" s="13" t="s">
        <v>37</v>
      </c>
      <c r="N1" s="13" t="s">
        <v>38</v>
      </c>
      <c r="O1" s="13" t="s">
        <v>243</v>
      </c>
      <c r="P1" s="16"/>
      <c r="Q1" s="16"/>
      <c r="R1" s="16"/>
      <c r="S1" s="16"/>
    </row>
    <row r="2" spans="1:19" x14ac:dyDescent="0.25">
      <c r="A2" s="2" t="s">
        <v>20</v>
      </c>
      <c r="B2" s="2" t="s">
        <v>39</v>
      </c>
      <c r="C2" s="2" t="s">
        <v>135</v>
      </c>
      <c r="D2" s="8">
        <v>4</v>
      </c>
      <c r="E2" s="8">
        <v>1</v>
      </c>
      <c r="F2" s="8">
        <v>1</v>
      </c>
      <c r="G2" s="9">
        <v>1</v>
      </c>
      <c r="H2" s="9" t="s">
        <v>23</v>
      </c>
      <c r="I2" s="9">
        <v>3</v>
      </c>
      <c r="J2" s="9" t="s">
        <v>23</v>
      </c>
      <c r="K2" s="9">
        <v>7</v>
      </c>
      <c r="L2" s="9" t="s">
        <v>23</v>
      </c>
      <c r="M2" s="9" t="str">
        <f>LEFT(A2,2)&amp;LEFT(B2,1)&amp;TEXT(F2,"000")&amp;"-"&amp;IF(
  AND(G2="",H2="",K2="",L2=""),
  "0d0d",
  TEXT(G2,"0")&amp;LOWER(H2)&amp;TEXT(K2,"0")&amp;LOWER(L2)
)</f>
        <v>AmB001-1d7d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7 dias</v>
      </c>
    </row>
    <row r="3" spans="1:19" x14ac:dyDescent="0.25">
      <c r="A3" s="2" t="s">
        <v>20</v>
      </c>
      <c r="B3" s="2" t="s">
        <v>39</v>
      </c>
      <c r="C3" s="2" t="s">
        <v>136</v>
      </c>
      <c r="D3" s="8">
        <v>4</v>
      </c>
      <c r="E3" s="8">
        <v>1</v>
      </c>
      <c r="F3" s="8">
        <v>2</v>
      </c>
      <c r="G3" s="9"/>
      <c r="H3" s="9"/>
      <c r="I3" s="9"/>
      <c r="J3" s="9"/>
      <c r="K3" s="9"/>
      <c r="L3" s="9"/>
      <c r="M3" s="9" t="str">
        <f t="shared" ref="M3:M38" si="0">LEFT(A3,2)&amp;LEFT(B3,1)&amp;TEXT(F3,"000")&amp;"-"&amp;IF(
  AND(G3="",H3="",K3="",L3=""),
  "0d0d",
  TEXT(G3,"0")&amp;LOWER(H3)&amp;TEXT(K3,"0")&amp;LOWER(L3)
)</f>
        <v>AmB002-0d0d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20</v>
      </c>
      <c r="B4" s="2" t="s">
        <v>39</v>
      </c>
      <c r="C4" s="2" t="s">
        <v>299</v>
      </c>
      <c r="D4" s="8">
        <v>4</v>
      </c>
      <c r="E4" s="8">
        <v>1</v>
      </c>
      <c r="F4" s="8">
        <v>3</v>
      </c>
      <c r="G4" s="9"/>
      <c r="H4" s="9"/>
      <c r="I4" s="9"/>
      <c r="J4" s="9"/>
      <c r="K4" s="9"/>
      <c r="L4" s="9"/>
      <c r="M4" s="9" t="str">
        <f t="shared" si="0"/>
        <v>AmB003-0d0d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20</v>
      </c>
      <c r="B5" s="2" t="s">
        <v>39</v>
      </c>
      <c r="C5" s="2" t="s">
        <v>137</v>
      </c>
      <c r="D5" s="8">
        <v>4</v>
      </c>
      <c r="E5" s="8">
        <v>1</v>
      </c>
      <c r="F5" s="8">
        <v>4</v>
      </c>
      <c r="G5" s="9"/>
      <c r="H5" s="9"/>
      <c r="I5" s="9"/>
      <c r="J5" s="9"/>
      <c r="K5" s="9"/>
      <c r="L5" s="9"/>
      <c r="M5" s="9" t="str">
        <f t="shared" si="0"/>
        <v>AmB004-0d0d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20</v>
      </c>
      <c r="B6" s="2" t="s">
        <v>39</v>
      </c>
      <c r="C6" s="2" t="s">
        <v>138</v>
      </c>
      <c r="D6" s="8">
        <v>4</v>
      </c>
      <c r="E6" s="8">
        <v>1</v>
      </c>
      <c r="F6" s="8">
        <v>5</v>
      </c>
      <c r="G6" s="9"/>
      <c r="H6" s="9"/>
      <c r="I6" s="9"/>
      <c r="J6" s="9"/>
      <c r="K6" s="9"/>
      <c r="L6" s="9"/>
      <c r="M6" s="9" t="str">
        <f t="shared" si="0"/>
        <v>AmB005-0d0d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20</v>
      </c>
      <c r="B7" s="2" t="s">
        <v>39</v>
      </c>
      <c r="C7" s="2" t="s">
        <v>139</v>
      </c>
      <c r="D7" s="8">
        <v>4</v>
      </c>
      <c r="E7" s="8">
        <v>1</v>
      </c>
      <c r="F7" s="8">
        <v>6</v>
      </c>
      <c r="G7" s="9"/>
      <c r="H7" s="9"/>
      <c r="I7" s="9"/>
      <c r="J7" s="9"/>
      <c r="K7" s="9"/>
      <c r="L7" s="9"/>
      <c r="M7" s="9" t="str">
        <f t="shared" si="0"/>
        <v>AmB006-0d0d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20</v>
      </c>
      <c r="B8" s="2" t="s">
        <v>39</v>
      </c>
      <c r="C8" s="2" t="s">
        <v>140</v>
      </c>
      <c r="D8" s="8">
        <v>4</v>
      </c>
      <c r="E8" s="8">
        <v>1</v>
      </c>
      <c r="F8" s="8">
        <v>7</v>
      </c>
      <c r="G8" s="9"/>
      <c r="H8" s="9"/>
      <c r="I8" s="9"/>
      <c r="J8" s="9"/>
      <c r="K8" s="9"/>
      <c r="L8" s="9"/>
      <c r="M8" s="9" t="str">
        <f t="shared" si="0"/>
        <v>AmB007-0d0d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20</v>
      </c>
      <c r="B9" s="2" t="s">
        <v>39</v>
      </c>
      <c r="C9" s="2" t="s">
        <v>141</v>
      </c>
      <c r="D9" s="8">
        <v>4</v>
      </c>
      <c r="E9" s="8">
        <v>1</v>
      </c>
      <c r="F9" s="8">
        <v>8</v>
      </c>
      <c r="G9" s="9"/>
      <c r="H9" s="9"/>
      <c r="I9" s="9"/>
      <c r="J9" s="9"/>
      <c r="K9" s="9"/>
      <c r="L9" s="9"/>
      <c r="M9" s="9" t="str">
        <f t="shared" si="0"/>
        <v>AmB008-0d0d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20</v>
      </c>
      <c r="B10" s="2" t="s">
        <v>39</v>
      </c>
      <c r="C10" s="2" t="s">
        <v>142</v>
      </c>
      <c r="D10" s="8">
        <v>4</v>
      </c>
      <c r="E10" s="8">
        <v>1</v>
      </c>
      <c r="F10" s="8">
        <v>9</v>
      </c>
      <c r="G10" s="9"/>
      <c r="H10" s="9"/>
      <c r="I10" s="9"/>
      <c r="J10" s="9"/>
      <c r="K10" s="9"/>
      <c r="L10" s="9"/>
      <c r="M10" s="9" t="str">
        <f t="shared" si="0"/>
        <v>AmB009-0d0d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20</v>
      </c>
      <c r="B11" s="2" t="s">
        <v>39</v>
      </c>
      <c r="C11" s="2" t="s">
        <v>143</v>
      </c>
      <c r="D11" s="8">
        <v>4</v>
      </c>
      <c r="E11" s="8">
        <v>1</v>
      </c>
      <c r="F11" s="8">
        <v>10</v>
      </c>
      <c r="G11" s="9"/>
      <c r="H11" s="9"/>
      <c r="I11" s="9"/>
      <c r="J11" s="9"/>
      <c r="K11" s="9"/>
      <c r="L11" s="9"/>
      <c r="M11" s="9" t="str">
        <f t="shared" si="0"/>
        <v>AmB010-0d0d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20</v>
      </c>
      <c r="B12" s="2" t="s">
        <v>48</v>
      </c>
      <c r="C12" s="2" t="s">
        <v>144</v>
      </c>
      <c r="D12" s="8">
        <v>4</v>
      </c>
      <c r="E12" s="8">
        <v>2</v>
      </c>
      <c r="F12" s="8">
        <v>1</v>
      </c>
      <c r="G12" s="9"/>
      <c r="H12" s="9"/>
      <c r="I12" s="9"/>
      <c r="J12" s="9"/>
      <c r="K12" s="9"/>
      <c r="L12" s="9"/>
      <c r="M12" s="9" t="str">
        <f t="shared" si="0"/>
        <v>AmD001-0d0d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20</v>
      </c>
      <c r="B13" s="2" t="s">
        <v>48</v>
      </c>
      <c r="C13" s="2" t="s">
        <v>300</v>
      </c>
      <c r="D13" s="8">
        <v>4</v>
      </c>
      <c r="E13" s="8">
        <v>2</v>
      </c>
      <c r="F13" s="8">
        <v>2</v>
      </c>
      <c r="G13" s="9">
        <v>0</v>
      </c>
      <c r="H13" s="9" t="s">
        <v>23</v>
      </c>
      <c r="I13" s="9"/>
      <c r="J13" s="9"/>
      <c r="K13" s="9">
        <v>7</v>
      </c>
      <c r="L13" s="9" t="s">
        <v>23</v>
      </c>
      <c r="M13" s="9" t="str">
        <f t="shared" si="0"/>
        <v>AmD002-0d7d</v>
      </c>
      <c r="N13" s="9">
        <f t="shared" si="1"/>
        <v>2</v>
      </c>
      <c r="O13" s="2" t="str">
        <f t="shared" si="2"/>
        <v>O dia inteiro por um período de 7 dias</v>
      </c>
    </row>
    <row r="14" spans="1:19" x14ac:dyDescent="0.25">
      <c r="A14" s="2" t="s">
        <v>20</v>
      </c>
      <c r="B14" s="2" t="s">
        <v>48</v>
      </c>
      <c r="C14" s="2" t="s">
        <v>145</v>
      </c>
      <c r="D14" s="8">
        <v>4</v>
      </c>
      <c r="E14" s="8">
        <v>2</v>
      </c>
      <c r="F14" s="8">
        <v>3</v>
      </c>
      <c r="G14" s="9"/>
      <c r="H14" s="9"/>
      <c r="I14" s="9"/>
      <c r="J14" s="9"/>
      <c r="K14" s="9"/>
      <c r="L14" s="9"/>
      <c r="M14" s="9" t="str">
        <f t="shared" si="0"/>
        <v>AmD003-0d0d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20</v>
      </c>
      <c r="B15" s="2" t="s">
        <v>48</v>
      </c>
      <c r="C15" s="2" t="s">
        <v>146</v>
      </c>
      <c r="D15" s="8">
        <v>4</v>
      </c>
      <c r="E15" s="8">
        <v>2</v>
      </c>
      <c r="F15" s="8">
        <v>4</v>
      </c>
      <c r="G15" s="9"/>
      <c r="H15" s="9"/>
      <c r="I15" s="9"/>
      <c r="J15" s="9"/>
      <c r="K15" s="9"/>
      <c r="L15" s="9"/>
      <c r="M15" s="9" t="str">
        <f t="shared" si="0"/>
        <v>AmD004-0d0d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20</v>
      </c>
      <c r="B16" s="2" t="s">
        <v>48</v>
      </c>
      <c r="C16" s="2" t="s">
        <v>301</v>
      </c>
      <c r="D16" s="8">
        <v>4</v>
      </c>
      <c r="E16" s="8">
        <v>2</v>
      </c>
      <c r="F16" s="8">
        <v>5</v>
      </c>
      <c r="G16" s="9">
        <v>0</v>
      </c>
      <c r="H16" s="9" t="s">
        <v>23</v>
      </c>
      <c r="I16" s="9"/>
      <c r="J16" s="9"/>
      <c r="K16" s="9">
        <v>1</v>
      </c>
      <c r="L16" s="9" t="s">
        <v>23</v>
      </c>
      <c r="M16" s="9" t="str">
        <f t="shared" si="0"/>
        <v>AmD005-0d1d</v>
      </c>
      <c r="N16" s="9">
        <f t="shared" si="1"/>
        <v>2</v>
      </c>
      <c r="O16" s="2" t="str">
        <f t="shared" si="2"/>
        <v>O dia inteiro por um período de 1 dia</v>
      </c>
    </row>
    <row r="17" spans="1:15" x14ac:dyDescent="0.25">
      <c r="A17" s="2" t="s">
        <v>20</v>
      </c>
      <c r="B17" s="2" t="s">
        <v>48</v>
      </c>
      <c r="C17" s="2" t="s">
        <v>147</v>
      </c>
      <c r="D17" s="8">
        <v>4</v>
      </c>
      <c r="E17" s="8">
        <v>2</v>
      </c>
      <c r="F17" s="8">
        <v>6</v>
      </c>
      <c r="G17" s="9">
        <v>1</v>
      </c>
      <c r="H17" s="9" t="s">
        <v>23</v>
      </c>
      <c r="I17" s="9"/>
      <c r="J17" s="9"/>
      <c r="K17" s="9">
        <v>1</v>
      </c>
      <c r="L17" s="9" t="s">
        <v>23</v>
      </c>
      <c r="M17" s="9" t="str">
        <f t="shared" si="0"/>
        <v>AmD006-1d1d</v>
      </c>
      <c r="N17" s="9">
        <f t="shared" si="1"/>
        <v>2</v>
      </c>
      <c r="O17" s="2" t="str">
        <f t="shared" si="2"/>
        <v>Pelo menos uma vez</v>
      </c>
    </row>
    <row r="18" spans="1:15" x14ac:dyDescent="0.25">
      <c r="A18" s="2" t="s">
        <v>20</v>
      </c>
      <c r="B18" s="2" t="s">
        <v>48</v>
      </c>
      <c r="C18" s="2" t="s">
        <v>148</v>
      </c>
      <c r="D18" s="8">
        <v>4</v>
      </c>
      <c r="E18" s="8">
        <v>2</v>
      </c>
      <c r="F18" s="8">
        <v>7</v>
      </c>
      <c r="G18" s="9">
        <v>1</v>
      </c>
      <c r="H18" s="9" t="s">
        <v>23</v>
      </c>
      <c r="I18" s="9"/>
      <c r="J18" s="9"/>
      <c r="K18" s="9">
        <v>1</v>
      </c>
      <c r="L18" s="9" t="s">
        <v>23</v>
      </c>
      <c r="M18" s="9" t="str">
        <f t="shared" si="0"/>
        <v>AmD007-1d1d</v>
      </c>
      <c r="N18" s="9">
        <f t="shared" si="1"/>
        <v>2</v>
      </c>
      <c r="O18" s="2" t="str">
        <f t="shared" si="2"/>
        <v>Pelo menos uma vez</v>
      </c>
    </row>
    <row r="19" spans="1:15" x14ac:dyDescent="0.25">
      <c r="A19" s="2" t="s">
        <v>20</v>
      </c>
      <c r="B19" s="2" t="s">
        <v>48</v>
      </c>
      <c r="C19" s="2" t="s">
        <v>149</v>
      </c>
      <c r="D19" s="8">
        <v>4</v>
      </c>
      <c r="E19" s="8">
        <v>2</v>
      </c>
      <c r="F19" s="8">
        <v>8</v>
      </c>
      <c r="G19" s="9">
        <v>1</v>
      </c>
      <c r="H19" s="9" t="s">
        <v>23</v>
      </c>
      <c r="I19" s="9"/>
      <c r="J19" s="9"/>
      <c r="K19" s="9">
        <v>1</v>
      </c>
      <c r="L19" s="9" t="s">
        <v>23</v>
      </c>
      <c r="M19" s="9" t="str">
        <f t="shared" si="0"/>
        <v>AmD008-1d1d</v>
      </c>
      <c r="N19" s="9">
        <f t="shared" si="1"/>
        <v>2</v>
      </c>
      <c r="O19" s="2" t="str">
        <f t="shared" si="2"/>
        <v>Pelo menos uma vez</v>
      </c>
    </row>
    <row r="20" spans="1:15" x14ac:dyDescent="0.25">
      <c r="A20" s="2" t="s">
        <v>20</v>
      </c>
      <c r="B20" s="2" t="s">
        <v>48</v>
      </c>
      <c r="C20" s="2" t="s">
        <v>150</v>
      </c>
      <c r="D20" s="8">
        <v>4</v>
      </c>
      <c r="E20" s="8">
        <v>2</v>
      </c>
      <c r="F20" s="8">
        <v>9</v>
      </c>
      <c r="G20" s="9">
        <v>1</v>
      </c>
      <c r="H20" s="9" t="s">
        <v>23</v>
      </c>
      <c r="I20" s="9"/>
      <c r="J20" s="9"/>
      <c r="K20" s="9">
        <v>1</v>
      </c>
      <c r="L20" s="9" t="s">
        <v>23</v>
      </c>
      <c r="M20" s="9" t="str">
        <f t="shared" si="0"/>
        <v>AmD009-1d1d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20</v>
      </c>
      <c r="B21" s="2" t="s">
        <v>48</v>
      </c>
      <c r="C21" s="2" t="s">
        <v>151</v>
      </c>
      <c r="D21" s="8">
        <v>4</v>
      </c>
      <c r="E21" s="8">
        <v>2</v>
      </c>
      <c r="F21" s="8">
        <v>10</v>
      </c>
      <c r="G21" s="9">
        <v>1</v>
      </c>
      <c r="H21" s="9" t="s">
        <v>23</v>
      </c>
      <c r="I21" s="9"/>
      <c r="J21" s="9"/>
      <c r="K21" s="9">
        <v>1</v>
      </c>
      <c r="L21" s="9" t="s">
        <v>23</v>
      </c>
      <c r="M21" s="9" t="str">
        <f t="shared" si="0"/>
        <v>AmD010-1d1d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20</v>
      </c>
      <c r="B22" s="2" t="s">
        <v>48</v>
      </c>
      <c r="C22" s="2" t="s">
        <v>152</v>
      </c>
      <c r="D22" s="8">
        <v>4</v>
      </c>
      <c r="E22" s="8">
        <v>2</v>
      </c>
      <c r="F22" s="8">
        <v>11</v>
      </c>
      <c r="G22" s="9">
        <v>1</v>
      </c>
      <c r="H22" s="9" t="s">
        <v>23</v>
      </c>
      <c r="I22" s="9"/>
      <c r="J22" s="9"/>
      <c r="K22" s="9">
        <v>1</v>
      </c>
      <c r="L22" s="9" t="s">
        <v>23</v>
      </c>
      <c r="M22" s="9" t="str">
        <f t="shared" si="0"/>
        <v>AmD011-1d1d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20</v>
      </c>
      <c r="B23" s="2" t="s">
        <v>48</v>
      </c>
      <c r="C23" s="2" t="s">
        <v>153</v>
      </c>
      <c r="D23" s="8">
        <v>4</v>
      </c>
      <c r="E23" s="8">
        <v>2</v>
      </c>
      <c r="F23" s="8">
        <v>12</v>
      </c>
      <c r="G23" s="9">
        <v>1</v>
      </c>
      <c r="H23" s="9" t="s">
        <v>23</v>
      </c>
      <c r="I23" s="9"/>
      <c r="J23" s="9"/>
      <c r="K23" s="9">
        <v>1</v>
      </c>
      <c r="L23" s="9" t="s">
        <v>23</v>
      </c>
      <c r="M23" s="9" t="str">
        <f t="shared" si="0"/>
        <v>AmD012-1d1d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20</v>
      </c>
      <c r="B24" s="2" t="s">
        <v>57</v>
      </c>
      <c r="C24" s="2" t="s">
        <v>154</v>
      </c>
      <c r="D24" s="8">
        <v>4</v>
      </c>
      <c r="E24" s="8">
        <v>3</v>
      </c>
      <c r="F24" s="8">
        <v>1</v>
      </c>
      <c r="G24" s="9">
        <v>1</v>
      </c>
      <c r="H24" s="9" t="s">
        <v>23</v>
      </c>
      <c r="I24" s="9">
        <v>7</v>
      </c>
      <c r="J24" s="9" t="s">
        <v>23</v>
      </c>
      <c r="K24" s="9">
        <v>60</v>
      </c>
      <c r="L24" s="9" t="s">
        <v>23</v>
      </c>
      <c r="M24" s="9" t="str">
        <f t="shared" si="0"/>
        <v>AmA001-1d60d</v>
      </c>
      <c r="N24" s="9">
        <f t="shared" si="1"/>
        <v>3</v>
      </c>
      <c r="O24" s="2" t="str">
        <f t="shared" si="2"/>
        <v>Uma vez por dia, a cada 7 dias, por um período de 60 dias</v>
      </c>
    </row>
    <row r="25" spans="1:15" x14ac:dyDescent="0.25">
      <c r="A25" s="2" t="s">
        <v>20</v>
      </c>
      <c r="B25" s="2" t="s">
        <v>57</v>
      </c>
      <c r="C25" s="2" t="s">
        <v>155</v>
      </c>
      <c r="D25" s="8">
        <v>4</v>
      </c>
      <c r="E25" s="8">
        <v>3</v>
      </c>
      <c r="F25" s="8">
        <v>2</v>
      </c>
      <c r="G25" s="9"/>
      <c r="H25" s="9"/>
      <c r="I25" s="9"/>
      <c r="J25" s="9"/>
      <c r="K25" s="9"/>
      <c r="L25" s="9"/>
      <c r="M25" s="9" t="str">
        <f t="shared" si="0"/>
        <v>AmA002-0d0d</v>
      </c>
      <c r="N25" s="9">
        <f t="shared" si="1"/>
        <v>3</v>
      </c>
      <c r="O25" s="2" t="str">
        <f t="shared" si="2"/>
        <v>Fique atento para a primeira oportunidade que surgir</v>
      </c>
    </row>
    <row r="26" spans="1:15" x14ac:dyDescent="0.25">
      <c r="A26" s="2" t="s">
        <v>20</v>
      </c>
      <c r="B26" s="2" t="s">
        <v>57</v>
      </c>
      <c r="C26" s="2" t="s">
        <v>156</v>
      </c>
      <c r="D26" s="8">
        <v>4</v>
      </c>
      <c r="E26" s="8">
        <v>3</v>
      </c>
      <c r="F26" s="8">
        <v>3</v>
      </c>
      <c r="G26" s="9"/>
      <c r="H26" s="9"/>
      <c r="I26" s="9"/>
      <c r="J26" s="9"/>
      <c r="K26" s="9"/>
      <c r="L26" s="9"/>
      <c r="M26" s="9" t="str">
        <f t="shared" si="0"/>
        <v>AmA003-0d0d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20</v>
      </c>
      <c r="B27" s="2" t="s">
        <v>57</v>
      </c>
      <c r="C27" s="2" t="s">
        <v>157</v>
      </c>
      <c r="D27" s="8">
        <v>4</v>
      </c>
      <c r="E27" s="8">
        <v>3</v>
      </c>
      <c r="F27" s="8">
        <v>4</v>
      </c>
      <c r="G27" s="9"/>
      <c r="H27" s="9"/>
      <c r="I27" s="9"/>
      <c r="J27" s="9"/>
      <c r="K27" s="9"/>
      <c r="L27" s="9"/>
      <c r="M27" s="9" t="str">
        <f t="shared" si="0"/>
        <v>AmA004-0d0d</v>
      </c>
      <c r="N27" s="9">
        <f t="shared" si="1"/>
        <v>3</v>
      </c>
      <c r="O27" s="2" t="str">
        <f t="shared" si="2"/>
        <v>Fique atento para a primeira oportunidade que surgir</v>
      </c>
    </row>
    <row r="28" spans="1:15" x14ac:dyDescent="0.25">
      <c r="A28" s="2" t="s">
        <v>20</v>
      </c>
      <c r="B28" s="2" t="s">
        <v>57</v>
      </c>
      <c r="C28" s="2" t="s">
        <v>158</v>
      </c>
      <c r="D28" s="8">
        <v>4</v>
      </c>
      <c r="E28" s="8">
        <v>3</v>
      </c>
      <c r="F28" s="8">
        <v>5</v>
      </c>
      <c r="G28" s="9"/>
      <c r="H28" s="9"/>
      <c r="I28" s="9"/>
      <c r="J28" s="9"/>
      <c r="K28" s="9"/>
      <c r="L28" s="9"/>
      <c r="M28" s="9" t="str">
        <f t="shared" si="0"/>
        <v>AmA005-0d0d</v>
      </c>
      <c r="N28" s="9">
        <f t="shared" si="1"/>
        <v>3</v>
      </c>
      <c r="O28" s="2" t="str">
        <f t="shared" si="2"/>
        <v>Fique atento para a primeira oportunidade que surgir</v>
      </c>
    </row>
    <row r="29" spans="1:15" x14ac:dyDescent="0.25">
      <c r="A29" s="2" t="s">
        <v>20</v>
      </c>
      <c r="B29" s="2" t="s">
        <v>57</v>
      </c>
      <c r="C29" s="2" t="s">
        <v>159</v>
      </c>
      <c r="D29" s="8">
        <v>4</v>
      </c>
      <c r="E29" s="8">
        <v>3</v>
      </c>
      <c r="F29" s="8">
        <v>6</v>
      </c>
      <c r="G29" s="9"/>
      <c r="H29" s="9"/>
      <c r="I29" s="9"/>
      <c r="J29" s="9"/>
      <c r="K29" s="9"/>
      <c r="L29" s="9"/>
      <c r="M29" s="9" t="str">
        <f t="shared" si="0"/>
        <v>AmA006-0d0d</v>
      </c>
      <c r="N29" s="9">
        <f t="shared" si="1"/>
        <v>3</v>
      </c>
      <c r="O29" s="2" t="str">
        <f t="shared" si="2"/>
        <v>Fique atento para a primeira oportunidade que surgir</v>
      </c>
    </row>
    <row r="30" spans="1:15" x14ac:dyDescent="0.25">
      <c r="A30" s="2" t="s">
        <v>20</v>
      </c>
      <c r="B30" s="2" t="s">
        <v>57</v>
      </c>
      <c r="C30" s="2" t="s">
        <v>160</v>
      </c>
      <c r="D30" s="8">
        <v>4</v>
      </c>
      <c r="E30" s="8">
        <v>3</v>
      </c>
      <c r="F30" s="8">
        <v>7</v>
      </c>
      <c r="G30" s="9"/>
      <c r="H30" s="9"/>
      <c r="I30" s="9"/>
      <c r="J30" s="9"/>
      <c r="K30" s="9"/>
      <c r="L30" s="9"/>
      <c r="M30" s="9" t="str">
        <f t="shared" si="0"/>
        <v>AmA007-0d0d</v>
      </c>
      <c r="N30" s="9">
        <f t="shared" si="1"/>
        <v>3</v>
      </c>
      <c r="O30" s="2" t="str">
        <f t="shared" si="2"/>
        <v>Fique atento para a primeira oportunidade que surgir</v>
      </c>
    </row>
    <row r="31" spans="1:15" x14ac:dyDescent="0.25">
      <c r="A31" s="2" t="s">
        <v>20</v>
      </c>
      <c r="B31" s="2" t="s">
        <v>57</v>
      </c>
      <c r="C31" s="2" t="s">
        <v>161</v>
      </c>
      <c r="D31" s="8">
        <v>4</v>
      </c>
      <c r="E31" s="8">
        <v>3</v>
      </c>
      <c r="F31" s="8">
        <v>8</v>
      </c>
      <c r="G31" s="9"/>
      <c r="H31" s="9"/>
      <c r="I31" s="9"/>
      <c r="J31" s="9"/>
      <c r="K31" s="9"/>
      <c r="L31" s="9"/>
      <c r="M31" s="9" t="str">
        <f t="shared" si="0"/>
        <v>AmA008-0d0d</v>
      </c>
      <c r="N31" s="9">
        <f t="shared" si="1"/>
        <v>3</v>
      </c>
      <c r="O31" s="2" t="str">
        <f t="shared" si="2"/>
        <v>Fique atento para a primeira oportunidade que surgir</v>
      </c>
    </row>
    <row r="32" spans="1:15" x14ac:dyDescent="0.25">
      <c r="A32" s="2" t="s">
        <v>20</v>
      </c>
      <c r="B32" s="2" t="s">
        <v>57</v>
      </c>
      <c r="C32" s="2" t="s">
        <v>162</v>
      </c>
      <c r="D32" s="8">
        <v>4</v>
      </c>
      <c r="E32" s="8">
        <v>3</v>
      </c>
      <c r="F32" s="8">
        <v>9</v>
      </c>
      <c r="G32" s="9"/>
      <c r="H32" s="9"/>
      <c r="I32" s="9"/>
      <c r="J32" s="9"/>
      <c r="K32" s="9"/>
      <c r="L32" s="9"/>
      <c r="M32" s="9" t="str">
        <f t="shared" si="0"/>
        <v>AmA009-0d0d</v>
      </c>
      <c r="N32" s="9">
        <f t="shared" si="1"/>
        <v>3</v>
      </c>
      <c r="O32" s="2" t="str">
        <f t="shared" si="2"/>
        <v>Fique atento para a primeira oportunidade que surgir</v>
      </c>
    </row>
    <row r="33" spans="1:15" x14ac:dyDescent="0.25">
      <c r="A33" s="2" t="s">
        <v>20</v>
      </c>
      <c r="B33" s="2" t="s">
        <v>57</v>
      </c>
      <c r="C33" s="2" t="s">
        <v>163</v>
      </c>
      <c r="D33" s="8">
        <v>4</v>
      </c>
      <c r="E33" s="8">
        <v>3</v>
      </c>
      <c r="F33" s="8">
        <v>10</v>
      </c>
      <c r="G33" s="9"/>
      <c r="H33" s="9"/>
      <c r="I33" s="9"/>
      <c r="J33" s="9"/>
      <c r="K33" s="9"/>
      <c r="L33" s="9"/>
      <c r="M33" s="9" t="str">
        <f t="shared" si="0"/>
        <v>AmA010-0d0d</v>
      </c>
      <c r="N33" s="9">
        <f t="shared" si="1"/>
        <v>3</v>
      </c>
      <c r="O33" s="2" t="str">
        <f t="shared" si="2"/>
        <v>Fique atento para a primeira oportunidade que surgir</v>
      </c>
    </row>
    <row r="34" spans="1:15" x14ac:dyDescent="0.25">
      <c r="A34" s="2" t="s">
        <v>20</v>
      </c>
      <c r="B34" s="2" t="s">
        <v>57</v>
      </c>
      <c r="C34" s="2" t="s">
        <v>164</v>
      </c>
      <c r="D34" s="8">
        <v>4</v>
      </c>
      <c r="E34" s="8">
        <v>3</v>
      </c>
      <c r="F34" s="8">
        <v>11</v>
      </c>
      <c r="G34" s="9"/>
      <c r="H34" s="9"/>
      <c r="I34" s="9"/>
      <c r="J34" s="9"/>
      <c r="K34" s="9"/>
      <c r="L34" s="9"/>
      <c r="M34" s="9" t="str">
        <f t="shared" si="0"/>
        <v>AmA011-0d0d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20</v>
      </c>
      <c r="B35" s="2" t="s">
        <v>57</v>
      </c>
      <c r="C35" s="2" t="s">
        <v>165</v>
      </c>
      <c r="D35" s="8">
        <v>4</v>
      </c>
      <c r="E35" s="8">
        <v>3</v>
      </c>
      <c r="F35" s="8">
        <v>12</v>
      </c>
      <c r="G35" s="9"/>
      <c r="H35" s="9"/>
      <c r="I35" s="9"/>
      <c r="J35" s="9"/>
      <c r="K35" s="9"/>
      <c r="L35" s="9"/>
      <c r="M35" s="9" t="str">
        <f t="shared" si="0"/>
        <v>AmA012-0d0d</v>
      </c>
      <c r="N35" s="9">
        <f t="shared" si="1"/>
        <v>3</v>
      </c>
      <c r="O35" s="2" t="str">
        <f t="shared" si="2"/>
        <v>Fique atento para a primeira oportunidade que surgir</v>
      </c>
    </row>
    <row r="36" spans="1:15" x14ac:dyDescent="0.25">
      <c r="A36" s="2" t="s">
        <v>20</v>
      </c>
      <c r="B36" s="2" t="s">
        <v>57</v>
      </c>
      <c r="C36" s="2" t="s">
        <v>166</v>
      </c>
      <c r="D36" s="8">
        <v>4</v>
      </c>
      <c r="E36" s="8">
        <v>3</v>
      </c>
      <c r="F36" s="8">
        <v>13</v>
      </c>
      <c r="G36" s="9"/>
      <c r="H36" s="9"/>
      <c r="I36" s="9"/>
      <c r="J36" s="9"/>
      <c r="K36" s="9"/>
      <c r="L36" s="9"/>
      <c r="M36" s="9" t="str">
        <f t="shared" si="0"/>
        <v>AmA013-0d0d</v>
      </c>
      <c r="N36" s="9">
        <f t="shared" si="1"/>
        <v>3</v>
      </c>
      <c r="O36" s="2" t="str">
        <f t="shared" si="2"/>
        <v>Fique atento para a primeira oportunidade que surgir</v>
      </c>
    </row>
    <row r="37" spans="1:15" x14ac:dyDescent="0.25">
      <c r="A37" s="2" t="s">
        <v>20</v>
      </c>
      <c r="B37" s="2" t="s">
        <v>57</v>
      </c>
      <c r="C37" s="2" t="s">
        <v>167</v>
      </c>
      <c r="D37" s="8">
        <v>4</v>
      </c>
      <c r="E37" s="8">
        <v>3</v>
      </c>
      <c r="F37" s="8">
        <v>14</v>
      </c>
      <c r="G37" s="9">
        <v>0</v>
      </c>
      <c r="H37" s="9" t="s">
        <v>23</v>
      </c>
      <c r="I37" s="9"/>
      <c r="J37" s="9"/>
      <c r="K37" s="9">
        <v>7</v>
      </c>
      <c r="L37" s="9" t="s">
        <v>23</v>
      </c>
      <c r="M37" s="9" t="str">
        <f t="shared" si="0"/>
        <v>AmA014-0d7d</v>
      </c>
      <c r="N37" s="9">
        <f t="shared" si="1"/>
        <v>3</v>
      </c>
      <c r="O37" s="2" t="str">
        <f t="shared" si="2"/>
        <v>O dia inteiro por um período de 7 dias</v>
      </c>
    </row>
    <row r="38" spans="1:15" x14ac:dyDescent="0.25">
      <c r="A38" s="2" t="s">
        <v>20</v>
      </c>
      <c r="B38" s="2" t="s">
        <v>57</v>
      </c>
      <c r="C38" s="2" t="s">
        <v>168</v>
      </c>
      <c r="D38" s="8">
        <v>4</v>
      </c>
      <c r="E38" s="8">
        <v>3</v>
      </c>
      <c r="F38" s="8">
        <v>15</v>
      </c>
      <c r="G38" s="9">
        <v>1</v>
      </c>
      <c r="H38" s="9" t="s">
        <v>23</v>
      </c>
      <c r="I38" s="9">
        <v>7</v>
      </c>
      <c r="J38" s="9" t="s">
        <v>23</v>
      </c>
      <c r="K38" s="9">
        <v>60</v>
      </c>
      <c r="L38" s="9" t="s">
        <v>23</v>
      </c>
      <c r="M38" s="9" t="str">
        <f t="shared" si="0"/>
        <v>AmA015-1d60d</v>
      </c>
      <c r="N38" s="9">
        <f t="shared" si="1"/>
        <v>3</v>
      </c>
      <c r="O38" s="2" t="str">
        <f t="shared" si="2"/>
        <v>Uma vez por dia, a cada 7 dias, por um período de 60 dias</v>
      </c>
    </row>
    <row r="40" spans="1:15" x14ac:dyDescent="0.25">
      <c r="A40" s="4" t="s">
        <v>64</v>
      </c>
      <c r="B40" s="4" t="s">
        <v>65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I2:I1037 K2:K1037 G2:G1037" xr:uid="{00000000-0002-0000-05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500-000000000000}">
          <x14:formula1>
            <xm:f>_DV!$A$1:$A$2</xm:f>
          </x14:formula1>
          <xm:sqref>J2:J1037 L2:L1037 H2:H1037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topLeftCell="D1" zoomScale="145" zoomScaleNormal="145" workbookViewId="0">
      <pane ySplit="1" topLeftCell="A38" activePane="bottomLeft" state="frozen"/>
      <selection pane="bottomLeft" activeCell="I1" sqref="A1:O38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65.5703125" bestFit="1" customWidth="1"/>
    <col min="4" max="12" width="3.7109375" bestFit="1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ht="84" x14ac:dyDescent="0.2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13" t="s">
        <v>37</v>
      </c>
      <c r="N1" s="13" t="s">
        <v>38</v>
      </c>
      <c r="O1" s="13" t="s">
        <v>243</v>
      </c>
      <c r="P1" s="16"/>
      <c r="Q1" s="16"/>
      <c r="R1" s="6"/>
      <c r="S1" s="6"/>
    </row>
    <row r="2" spans="1:19" x14ac:dyDescent="0.25">
      <c r="A2" s="2" t="s">
        <v>21</v>
      </c>
      <c r="B2" s="2" t="s">
        <v>39</v>
      </c>
      <c r="C2" s="2" t="s">
        <v>169</v>
      </c>
      <c r="D2" s="3">
        <v>5</v>
      </c>
      <c r="E2" s="3">
        <v>1</v>
      </c>
      <c r="F2" s="3">
        <v>1</v>
      </c>
      <c r="G2" s="2"/>
      <c r="H2" s="2"/>
      <c r="I2" s="2"/>
      <c r="J2" s="2"/>
      <c r="K2" s="2"/>
      <c r="L2" s="2"/>
      <c r="M2" s="9" t="str">
        <f>LEFT(A2,2)&amp;LEFT(B2,1)&amp;TEXT(F2,"000")&amp;"-"&amp;IF(
  AND(G2="",H2="",K2="",L2=""),
  "0d0d",
  TEXT(G2,"0")&amp;LOWER(H2)&amp;TEXT(K2,"0")&amp;LOWER(L2)
)</f>
        <v>CoB001-0d0d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Fique atento para a primeira oportunidade que surgir</v>
      </c>
    </row>
    <row r="3" spans="1:19" x14ac:dyDescent="0.25">
      <c r="A3" s="2" t="s">
        <v>21</v>
      </c>
      <c r="B3" s="2" t="s">
        <v>39</v>
      </c>
      <c r="C3" s="2" t="s">
        <v>170</v>
      </c>
      <c r="D3" s="3">
        <v>5</v>
      </c>
      <c r="E3" s="3">
        <v>1</v>
      </c>
      <c r="F3" s="3">
        <v>2</v>
      </c>
      <c r="G3" s="2"/>
      <c r="H3" s="2"/>
      <c r="I3" s="2"/>
      <c r="J3" s="2"/>
      <c r="K3" s="2"/>
      <c r="L3" s="2"/>
      <c r="M3" s="9" t="str">
        <f t="shared" ref="M3:M38" si="0">LEFT(A3,2)&amp;LEFT(B3,1)&amp;TEXT(F3,"000")&amp;"-"&amp;IF(
  AND(G3="",H3="",K3="",L3=""),
  "0d0d",
  TEXT(G3,"0")&amp;LOWER(H3)&amp;TEXT(K3,"0")&amp;LOWER(L3)
)</f>
        <v>CoB002-0d0d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21</v>
      </c>
      <c r="B4" s="2" t="s">
        <v>39</v>
      </c>
      <c r="C4" s="2" t="s">
        <v>171</v>
      </c>
      <c r="D4" s="3">
        <v>5</v>
      </c>
      <c r="E4" s="3">
        <v>1</v>
      </c>
      <c r="F4" s="3">
        <v>3</v>
      </c>
      <c r="G4" s="2"/>
      <c r="H4" s="2"/>
      <c r="I4" s="2"/>
      <c r="J4" s="2"/>
      <c r="K4" s="2"/>
      <c r="L4" s="2"/>
      <c r="M4" s="9" t="str">
        <f t="shared" si="0"/>
        <v>CoB003-0d0d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21</v>
      </c>
      <c r="B5" s="2" t="s">
        <v>39</v>
      </c>
      <c r="C5" s="2" t="s">
        <v>172</v>
      </c>
      <c r="D5" s="3">
        <v>5</v>
      </c>
      <c r="E5" s="3">
        <v>1</v>
      </c>
      <c r="F5" s="3">
        <v>4</v>
      </c>
      <c r="G5" s="2"/>
      <c r="H5" s="2"/>
      <c r="I5" s="2"/>
      <c r="J5" s="2"/>
      <c r="K5" s="2"/>
      <c r="L5" s="2"/>
      <c r="M5" s="9" t="str">
        <f t="shared" si="0"/>
        <v>CoB004-0d0d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21</v>
      </c>
      <c r="B6" s="2" t="s">
        <v>39</v>
      </c>
      <c r="C6" s="2" t="s">
        <v>173</v>
      </c>
      <c r="D6" s="3">
        <v>5</v>
      </c>
      <c r="E6" s="3">
        <v>1</v>
      </c>
      <c r="F6" s="3">
        <v>5</v>
      </c>
      <c r="G6" s="2"/>
      <c r="H6" s="2"/>
      <c r="I6" s="2"/>
      <c r="J6" s="2"/>
      <c r="K6" s="2"/>
      <c r="L6" s="2"/>
      <c r="M6" s="9" t="str">
        <f t="shared" si="0"/>
        <v>CoB005-0d0d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21</v>
      </c>
      <c r="B7" s="2" t="s">
        <v>39</v>
      </c>
      <c r="C7" s="2" t="s">
        <v>174</v>
      </c>
      <c r="D7" s="3">
        <v>5</v>
      </c>
      <c r="E7" s="3">
        <v>1</v>
      </c>
      <c r="F7" s="3">
        <v>6</v>
      </c>
      <c r="G7" s="2"/>
      <c r="H7" s="2"/>
      <c r="I7" s="2"/>
      <c r="J7" s="2"/>
      <c r="K7" s="2"/>
      <c r="L7" s="2"/>
      <c r="M7" s="9" t="str">
        <f t="shared" si="0"/>
        <v>CoB006-0d0d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21</v>
      </c>
      <c r="B8" s="2" t="s">
        <v>39</v>
      </c>
      <c r="C8" s="2" t="s">
        <v>175</v>
      </c>
      <c r="D8" s="3">
        <v>5</v>
      </c>
      <c r="E8" s="3">
        <v>1</v>
      </c>
      <c r="F8" s="3">
        <v>7</v>
      </c>
      <c r="G8" s="2"/>
      <c r="H8" s="2"/>
      <c r="I8" s="2"/>
      <c r="J8" s="2"/>
      <c r="K8" s="2"/>
      <c r="L8" s="2"/>
      <c r="M8" s="9" t="str">
        <f t="shared" si="0"/>
        <v>CoB007-0d0d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21</v>
      </c>
      <c r="B9" s="2" t="s">
        <v>39</v>
      </c>
      <c r="C9" s="2" t="s">
        <v>176</v>
      </c>
      <c r="D9" s="3">
        <v>5</v>
      </c>
      <c r="E9" s="3">
        <v>1</v>
      </c>
      <c r="F9" s="3">
        <v>8</v>
      </c>
      <c r="G9" s="2"/>
      <c r="H9" s="2"/>
      <c r="I9" s="2"/>
      <c r="J9" s="2"/>
      <c r="K9" s="2"/>
      <c r="L9" s="2"/>
      <c r="M9" s="9" t="str">
        <f t="shared" si="0"/>
        <v>CoB008-0d0d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21</v>
      </c>
      <c r="B10" s="2" t="s">
        <v>39</v>
      </c>
      <c r="C10" s="2" t="s">
        <v>177</v>
      </c>
      <c r="D10" s="3">
        <v>5</v>
      </c>
      <c r="E10" s="3">
        <v>1</v>
      </c>
      <c r="F10" s="3">
        <v>9</v>
      </c>
      <c r="G10" s="2"/>
      <c r="H10" s="2"/>
      <c r="I10" s="2"/>
      <c r="J10" s="2"/>
      <c r="K10" s="2"/>
      <c r="L10" s="2"/>
      <c r="M10" s="9" t="str">
        <f t="shared" si="0"/>
        <v>CoB009-0d0d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21</v>
      </c>
      <c r="B11" s="2" t="s">
        <v>39</v>
      </c>
      <c r="C11" s="2" t="s">
        <v>178</v>
      </c>
      <c r="D11" s="3">
        <v>5</v>
      </c>
      <c r="E11" s="3">
        <v>1</v>
      </c>
      <c r="F11" s="3">
        <v>10</v>
      </c>
      <c r="G11" s="2"/>
      <c r="H11" s="2"/>
      <c r="I11" s="2"/>
      <c r="J11" s="2"/>
      <c r="K11" s="2"/>
      <c r="L11" s="2"/>
      <c r="M11" s="9" t="str">
        <f t="shared" si="0"/>
        <v>CoB010-0d0d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21</v>
      </c>
      <c r="B12" s="2" t="s">
        <v>48</v>
      </c>
      <c r="C12" s="2" t="s">
        <v>179</v>
      </c>
      <c r="D12" s="3">
        <v>5</v>
      </c>
      <c r="E12" s="3">
        <v>2</v>
      </c>
      <c r="F12" s="3">
        <v>1</v>
      </c>
      <c r="G12" s="2"/>
      <c r="H12" s="2"/>
      <c r="I12" s="2"/>
      <c r="J12" s="2"/>
      <c r="K12" s="2"/>
      <c r="L12" s="2"/>
      <c r="M12" s="9" t="str">
        <f t="shared" si="0"/>
        <v>CoD001-0d0d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21</v>
      </c>
      <c r="B13" s="2" t="s">
        <v>48</v>
      </c>
      <c r="C13" s="2" t="s">
        <v>180</v>
      </c>
      <c r="D13" s="3">
        <v>5</v>
      </c>
      <c r="E13" s="3">
        <v>2</v>
      </c>
      <c r="F13" s="3">
        <v>2</v>
      </c>
      <c r="G13" s="2"/>
      <c r="H13" s="2"/>
      <c r="I13" s="2"/>
      <c r="J13" s="2"/>
      <c r="K13" s="2"/>
      <c r="L13" s="2"/>
      <c r="M13" s="9" t="str">
        <f t="shared" si="0"/>
        <v>CoD002-0d0d</v>
      </c>
      <c r="N13" s="9">
        <f t="shared" si="1"/>
        <v>2</v>
      </c>
      <c r="O13" s="2" t="str">
        <f t="shared" si="2"/>
        <v>Fique atento para a primeira oportunidade que surgir</v>
      </c>
    </row>
    <row r="14" spans="1:19" x14ac:dyDescent="0.25">
      <c r="A14" s="2" t="s">
        <v>21</v>
      </c>
      <c r="B14" s="2" t="s">
        <v>48</v>
      </c>
      <c r="C14" s="2" t="s">
        <v>181</v>
      </c>
      <c r="D14" s="3">
        <v>5</v>
      </c>
      <c r="E14" s="3">
        <v>2</v>
      </c>
      <c r="F14" s="3">
        <v>3</v>
      </c>
      <c r="G14" s="2"/>
      <c r="H14" s="2"/>
      <c r="I14" s="2"/>
      <c r="J14" s="2"/>
      <c r="K14" s="2"/>
      <c r="L14" s="2"/>
      <c r="M14" s="9" t="str">
        <f t="shared" si="0"/>
        <v>CoD003-0d0d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21</v>
      </c>
      <c r="B15" s="2" t="s">
        <v>48</v>
      </c>
      <c r="C15" s="2" t="s">
        <v>182</v>
      </c>
      <c r="D15" s="3">
        <v>5</v>
      </c>
      <c r="E15" s="3">
        <v>2</v>
      </c>
      <c r="F15" s="3">
        <v>4</v>
      </c>
      <c r="G15" s="2"/>
      <c r="H15" s="2"/>
      <c r="I15" s="2"/>
      <c r="J15" s="2"/>
      <c r="K15" s="2"/>
      <c r="L15" s="2"/>
      <c r="M15" s="9" t="str">
        <f t="shared" si="0"/>
        <v>CoD004-0d0d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21</v>
      </c>
      <c r="B16" s="2" t="s">
        <v>48</v>
      </c>
      <c r="C16" s="2" t="s">
        <v>183</v>
      </c>
      <c r="D16" s="3">
        <v>5</v>
      </c>
      <c r="E16" s="3">
        <v>2</v>
      </c>
      <c r="F16" s="3">
        <v>5</v>
      </c>
      <c r="G16" s="2"/>
      <c r="H16" s="2"/>
      <c r="I16" s="2"/>
      <c r="J16" s="2"/>
      <c r="K16" s="2"/>
      <c r="L16" s="2"/>
      <c r="M16" s="9" t="str">
        <f t="shared" si="0"/>
        <v>CoD005-0d0d</v>
      </c>
      <c r="N16" s="9">
        <f t="shared" si="1"/>
        <v>2</v>
      </c>
      <c r="O16" s="2" t="str">
        <f t="shared" si="2"/>
        <v>Fique atento para a primeira oportunidade que surgir</v>
      </c>
    </row>
    <row r="17" spans="1:15" x14ac:dyDescent="0.25">
      <c r="A17" s="2" t="s">
        <v>21</v>
      </c>
      <c r="B17" s="2" t="s">
        <v>48</v>
      </c>
      <c r="C17" s="2" t="s">
        <v>184</v>
      </c>
      <c r="D17" s="3">
        <v>5</v>
      </c>
      <c r="E17" s="3">
        <v>2</v>
      </c>
      <c r="F17" s="3">
        <v>6</v>
      </c>
      <c r="G17" s="2"/>
      <c r="H17" s="2"/>
      <c r="I17" s="2"/>
      <c r="J17" s="2"/>
      <c r="K17" s="2"/>
      <c r="L17" s="2"/>
      <c r="M17" s="9" t="str">
        <f t="shared" si="0"/>
        <v>CoD006-0d0d</v>
      </c>
      <c r="N17" s="9">
        <f t="shared" si="1"/>
        <v>2</v>
      </c>
      <c r="O17" s="2" t="str">
        <f t="shared" si="2"/>
        <v>Fique atento para a primeira oportunidade que surgir</v>
      </c>
    </row>
    <row r="18" spans="1:15" x14ac:dyDescent="0.25">
      <c r="A18" s="2" t="s">
        <v>21</v>
      </c>
      <c r="B18" s="2" t="s">
        <v>48</v>
      </c>
      <c r="C18" s="2" t="s">
        <v>185</v>
      </c>
      <c r="D18" s="3">
        <v>5</v>
      </c>
      <c r="E18" s="3">
        <v>2</v>
      </c>
      <c r="F18" s="3">
        <v>7</v>
      </c>
      <c r="G18" s="2"/>
      <c r="H18" s="2"/>
      <c r="I18" s="2"/>
      <c r="J18" s="2"/>
      <c r="K18" s="2"/>
      <c r="L18" s="2"/>
      <c r="M18" s="9" t="str">
        <f t="shared" si="0"/>
        <v>CoD007-0d0d</v>
      </c>
      <c r="N18" s="9">
        <f t="shared" si="1"/>
        <v>2</v>
      </c>
      <c r="O18" s="2" t="str">
        <f t="shared" si="2"/>
        <v>Fique atento para a primeira oportunidade que surgir</v>
      </c>
    </row>
    <row r="19" spans="1:15" x14ac:dyDescent="0.25">
      <c r="A19" s="2" t="s">
        <v>21</v>
      </c>
      <c r="B19" s="2" t="s">
        <v>48</v>
      </c>
      <c r="C19" s="2" t="s">
        <v>186</v>
      </c>
      <c r="D19" s="3">
        <v>5</v>
      </c>
      <c r="E19" s="3">
        <v>2</v>
      </c>
      <c r="F19" s="3">
        <v>8</v>
      </c>
      <c r="G19" s="2"/>
      <c r="H19" s="2"/>
      <c r="I19" s="2"/>
      <c r="J19" s="2"/>
      <c r="K19" s="2"/>
      <c r="L19" s="2"/>
      <c r="M19" s="9" t="str">
        <f t="shared" si="0"/>
        <v>CoD008-0d0d</v>
      </c>
      <c r="N19" s="9">
        <f t="shared" si="1"/>
        <v>2</v>
      </c>
      <c r="O19" s="2" t="str">
        <f t="shared" si="2"/>
        <v>Fique atento para a primeira oportunidade que surgir</v>
      </c>
    </row>
    <row r="20" spans="1:15" x14ac:dyDescent="0.25">
      <c r="A20" s="2" t="s">
        <v>21</v>
      </c>
      <c r="B20" s="2" t="s">
        <v>48</v>
      </c>
      <c r="C20" s="2" t="s">
        <v>187</v>
      </c>
      <c r="D20" s="3">
        <v>5</v>
      </c>
      <c r="E20" s="3">
        <v>2</v>
      </c>
      <c r="F20" s="3">
        <v>9</v>
      </c>
      <c r="G20" s="2"/>
      <c r="H20" s="2"/>
      <c r="I20" s="2"/>
      <c r="J20" s="2"/>
      <c r="K20" s="2"/>
      <c r="L20" s="2"/>
      <c r="M20" s="9" t="str">
        <f t="shared" si="0"/>
        <v>CoD009-0d0d</v>
      </c>
      <c r="N20" s="9">
        <f t="shared" si="1"/>
        <v>2</v>
      </c>
      <c r="O20" s="2" t="str">
        <f t="shared" si="2"/>
        <v>Fique atento para a primeira oportunidade que surgir</v>
      </c>
    </row>
    <row r="21" spans="1:15" x14ac:dyDescent="0.25">
      <c r="A21" s="2" t="s">
        <v>21</v>
      </c>
      <c r="B21" s="2" t="s">
        <v>48</v>
      </c>
      <c r="C21" s="2" t="s">
        <v>188</v>
      </c>
      <c r="D21" s="3">
        <v>5</v>
      </c>
      <c r="E21" s="3">
        <v>2</v>
      </c>
      <c r="F21" s="3">
        <v>10</v>
      </c>
      <c r="G21" s="2"/>
      <c r="H21" s="2"/>
      <c r="I21" s="2"/>
      <c r="J21" s="2"/>
      <c r="K21" s="2"/>
      <c r="L21" s="2"/>
      <c r="M21" s="9" t="str">
        <f t="shared" si="0"/>
        <v>CoD010-0d0d</v>
      </c>
      <c r="N21" s="9">
        <f t="shared" si="1"/>
        <v>2</v>
      </c>
      <c r="O21" s="2" t="str">
        <f t="shared" si="2"/>
        <v>Fique atento para a primeira oportunidade que surgir</v>
      </c>
    </row>
    <row r="22" spans="1:15" x14ac:dyDescent="0.25">
      <c r="A22" s="2" t="s">
        <v>21</v>
      </c>
      <c r="B22" s="2" t="s">
        <v>48</v>
      </c>
      <c r="C22" s="2" t="s">
        <v>189</v>
      </c>
      <c r="D22" s="3">
        <v>5</v>
      </c>
      <c r="E22" s="3">
        <v>2</v>
      </c>
      <c r="F22" s="3">
        <v>11</v>
      </c>
      <c r="G22" s="2"/>
      <c r="H22" s="2"/>
      <c r="I22" s="2"/>
      <c r="J22" s="2"/>
      <c r="K22" s="2"/>
      <c r="L22" s="2"/>
      <c r="M22" s="9" t="str">
        <f t="shared" si="0"/>
        <v>CoD011-0d0d</v>
      </c>
      <c r="N22" s="9">
        <f t="shared" si="1"/>
        <v>2</v>
      </c>
      <c r="O22" s="2" t="str">
        <f t="shared" si="2"/>
        <v>Fique atento para a primeira oportunidade que surgir</v>
      </c>
    </row>
    <row r="23" spans="1:15" x14ac:dyDescent="0.25">
      <c r="A23" s="2" t="s">
        <v>21</v>
      </c>
      <c r="B23" s="2" t="s">
        <v>48</v>
      </c>
      <c r="C23" s="2" t="s">
        <v>190</v>
      </c>
      <c r="D23" s="3">
        <v>5</v>
      </c>
      <c r="E23" s="3">
        <v>2</v>
      </c>
      <c r="F23" s="3">
        <v>12</v>
      </c>
      <c r="G23" s="2">
        <v>1</v>
      </c>
      <c r="H23" s="2" t="s">
        <v>23</v>
      </c>
      <c r="I23" s="2"/>
      <c r="J23" s="2"/>
      <c r="K23" s="2">
        <v>7</v>
      </c>
      <c r="L23" s="2" t="s">
        <v>23</v>
      </c>
      <c r="M23" s="9" t="str">
        <f t="shared" si="0"/>
        <v>CoD012-1d7d</v>
      </c>
      <c r="N23" s="9">
        <f t="shared" si="1"/>
        <v>2</v>
      </c>
      <c r="O23" s="2" t="str">
        <f t="shared" si="2"/>
        <v>Uma vez por dia por um período de 7 dias</v>
      </c>
    </row>
    <row r="24" spans="1:15" x14ac:dyDescent="0.25">
      <c r="A24" s="2" t="s">
        <v>21</v>
      </c>
      <c r="B24" s="2" t="s">
        <v>57</v>
      </c>
      <c r="C24" s="2" t="s">
        <v>191</v>
      </c>
      <c r="D24" s="3">
        <v>5</v>
      </c>
      <c r="E24" s="3">
        <v>3</v>
      </c>
      <c r="F24" s="3">
        <v>1</v>
      </c>
      <c r="G24" s="2">
        <v>1</v>
      </c>
      <c r="H24" s="2" t="s">
        <v>23</v>
      </c>
      <c r="I24" s="2">
        <v>7</v>
      </c>
      <c r="J24" s="2" t="s">
        <v>23</v>
      </c>
      <c r="K24" s="2">
        <v>21</v>
      </c>
      <c r="L24" s="2" t="s">
        <v>23</v>
      </c>
      <c r="M24" s="9" t="str">
        <f t="shared" si="0"/>
        <v>CoA001-1d21d</v>
      </c>
      <c r="N24" s="9">
        <f t="shared" si="1"/>
        <v>3</v>
      </c>
      <c r="O24" s="2" t="str">
        <f t="shared" si="2"/>
        <v>Uma vez por dia, a cada 7 dias, por um período de 21 dias</v>
      </c>
    </row>
    <row r="25" spans="1:15" x14ac:dyDescent="0.25">
      <c r="A25" s="2" t="s">
        <v>21</v>
      </c>
      <c r="B25" s="2" t="s">
        <v>57</v>
      </c>
      <c r="C25" s="2" t="s">
        <v>192</v>
      </c>
      <c r="D25" s="3">
        <v>5</v>
      </c>
      <c r="E25" s="3">
        <v>3</v>
      </c>
      <c r="F25" s="3">
        <v>2</v>
      </c>
      <c r="G25" s="2">
        <v>1</v>
      </c>
      <c r="H25" s="2" t="s">
        <v>23</v>
      </c>
      <c r="I25" s="2"/>
      <c r="J25" s="2"/>
      <c r="K25" s="2">
        <v>30</v>
      </c>
      <c r="L25" s="2" t="s">
        <v>23</v>
      </c>
      <c r="M25" s="9" t="str">
        <f t="shared" si="0"/>
        <v>CoA002-1d30d</v>
      </c>
      <c r="N25" s="9">
        <f t="shared" si="1"/>
        <v>3</v>
      </c>
      <c r="O25" s="2" t="str">
        <f t="shared" si="2"/>
        <v>Uma vez por dia por um período de 30 dias</v>
      </c>
    </row>
    <row r="26" spans="1:15" x14ac:dyDescent="0.25">
      <c r="A26" s="2" t="s">
        <v>21</v>
      </c>
      <c r="B26" s="2" t="s">
        <v>57</v>
      </c>
      <c r="C26" s="2" t="s">
        <v>193</v>
      </c>
      <c r="D26" s="3">
        <v>5</v>
      </c>
      <c r="E26" s="3">
        <v>3</v>
      </c>
      <c r="F26" s="3">
        <v>3</v>
      </c>
      <c r="G26" s="2"/>
      <c r="H26" s="2"/>
      <c r="I26" s="2"/>
      <c r="J26" s="2"/>
      <c r="K26" s="2"/>
      <c r="L26" s="2"/>
      <c r="M26" s="9" t="str">
        <f t="shared" si="0"/>
        <v>CoA003-0d0d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21</v>
      </c>
      <c r="B27" s="2" t="s">
        <v>57</v>
      </c>
      <c r="C27" s="2" t="s">
        <v>194</v>
      </c>
      <c r="D27" s="3">
        <v>5</v>
      </c>
      <c r="E27" s="3">
        <v>3</v>
      </c>
      <c r="F27" s="3">
        <v>4</v>
      </c>
      <c r="G27" s="2">
        <v>1</v>
      </c>
      <c r="H27" s="2" t="s">
        <v>23</v>
      </c>
      <c r="I27" s="2">
        <v>7</v>
      </c>
      <c r="J27" s="2" t="s">
        <v>23</v>
      </c>
      <c r="K27" s="2">
        <v>30</v>
      </c>
      <c r="L27" s="2" t="s">
        <v>23</v>
      </c>
      <c r="M27" s="9" t="str">
        <f t="shared" si="0"/>
        <v>CoA004-1d30d</v>
      </c>
      <c r="N27" s="9">
        <f t="shared" si="1"/>
        <v>3</v>
      </c>
      <c r="O27" s="2" t="str">
        <f t="shared" si="2"/>
        <v>Uma vez por dia, a cada 7 dias, por um período de 30 dias</v>
      </c>
    </row>
    <row r="28" spans="1:15" x14ac:dyDescent="0.25">
      <c r="A28" s="2" t="s">
        <v>21</v>
      </c>
      <c r="B28" s="2" t="s">
        <v>57</v>
      </c>
      <c r="C28" s="2" t="s">
        <v>195</v>
      </c>
      <c r="D28" s="3">
        <v>5</v>
      </c>
      <c r="E28" s="3">
        <v>3</v>
      </c>
      <c r="F28" s="3">
        <v>5</v>
      </c>
      <c r="G28" s="2">
        <v>1</v>
      </c>
      <c r="H28" s="2" t="s">
        <v>23</v>
      </c>
      <c r="I28" s="2"/>
      <c r="J28" s="2"/>
      <c r="K28" s="2">
        <v>1</v>
      </c>
      <c r="L28" s="2" t="s">
        <v>23</v>
      </c>
      <c r="M28" s="9" t="str">
        <f t="shared" si="0"/>
        <v>CoA005-1d1d</v>
      </c>
      <c r="N28" s="9">
        <f t="shared" si="1"/>
        <v>3</v>
      </c>
      <c r="O28" s="2" t="str">
        <f t="shared" si="2"/>
        <v>Pelo menos uma vez</v>
      </c>
    </row>
    <row r="29" spans="1:15" x14ac:dyDescent="0.25">
      <c r="A29" s="2" t="s">
        <v>21</v>
      </c>
      <c r="B29" s="2" t="s">
        <v>57</v>
      </c>
      <c r="C29" s="2" t="s">
        <v>196</v>
      </c>
      <c r="D29" s="3">
        <v>5</v>
      </c>
      <c r="E29" s="3">
        <v>3</v>
      </c>
      <c r="F29" s="3">
        <v>6</v>
      </c>
      <c r="G29" s="2">
        <v>1</v>
      </c>
      <c r="H29" s="2" t="s">
        <v>23</v>
      </c>
      <c r="I29" s="2"/>
      <c r="J29" s="2"/>
      <c r="K29" s="2">
        <v>1</v>
      </c>
      <c r="L29" s="2" t="s">
        <v>23</v>
      </c>
      <c r="M29" s="9" t="str">
        <f t="shared" si="0"/>
        <v>CoA006-1d1d</v>
      </c>
      <c r="N29" s="9">
        <f t="shared" si="1"/>
        <v>3</v>
      </c>
      <c r="O29" s="2" t="str">
        <f t="shared" si="2"/>
        <v>Pelo menos uma vez</v>
      </c>
    </row>
    <row r="30" spans="1:15" x14ac:dyDescent="0.25">
      <c r="A30" s="2" t="s">
        <v>21</v>
      </c>
      <c r="B30" s="2" t="s">
        <v>57</v>
      </c>
      <c r="C30" s="2" t="s">
        <v>197</v>
      </c>
      <c r="D30" s="3">
        <v>5</v>
      </c>
      <c r="E30" s="3">
        <v>3</v>
      </c>
      <c r="F30" s="3">
        <v>7</v>
      </c>
      <c r="G30" s="2">
        <v>1</v>
      </c>
      <c r="H30" s="2" t="s">
        <v>23</v>
      </c>
      <c r="I30" s="2"/>
      <c r="J30" s="2"/>
      <c r="K30" s="2">
        <v>30</v>
      </c>
      <c r="L30" s="2" t="s">
        <v>23</v>
      </c>
      <c r="M30" s="9" t="str">
        <f t="shared" si="0"/>
        <v>CoA007-1d30d</v>
      </c>
      <c r="N30" s="9">
        <f t="shared" si="1"/>
        <v>3</v>
      </c>
      <c r="O30" s="2" t="str">
        <f t="shared" si="2"/>
        <v>Uma vez por dia por um período de 30 dias</v>
      </c>
    </row>
    <row r="31" spans="1:15" x14ac:dyDescent="0.25">
      <c r="A31" s="2" t="s">
        <v>21</v>
      </c>
      <c r="B31" s="2" t="s">
        <v>57</v>
      </c>
      <c r="C31" s="2" t="s">
        <v>198</v>
      </c>
      <c r="D31" s="3">
        <v>5</v>
      </c>
      <c r="E31" s="3">
        <v>3</v>
      </c>
      <c r="F31" s="3">
        <v>8</v>
      </c>
      <c r="G31" s="2">
        <v>1</v>
      </c>
      <c r="H31" s="2" t="s">
        <v>23</v>
      </c>
      <c r="I31" s="2"/>
      <c r="J31" s="2"/>
      <c r="K31" s="2">
        <v>1</v>
      </c>
      <c r="L31" s="2" t="s">
        <v>23</v>
      </c>
      <c r="M31" s="9" t="str">
        <f t="shared" si="0"/>
        <v>CoA008-1d1d</v>
      </c>
      <c r="N31" s="9">
        <f t="shared" si="1"/>
        <v>3</v>
      </c>
      <c r="O31" s="2" t="str">
        <f t="shared" si="2"/>
        <v>Pelo menos uma vez</v>
      </c>
    </row>
    <row r="32" spans="1:15" x14ac:dyDescent="0.25">
      <c r="A32" s="2" t="s">
        <v>21</v>
      </c>
      <c r="B32" s="2" t="s">
        <v>57</v>
      </c>
      <c r="C32" s="2" t="s">
        <v>199</v>
      </c>
      <c r="D32" s="3">
        <v>5</v>
      </c>
      <c r="E32" s="3">
        <v>3</v>
      </c>
      <c r="F32" s="3">
        <v>9</v>
      </c>
      <c r="G32" s="2">
        <v>1</v>
      </c>
      <c r="H32" s="2" t="s">
        <v>23</v>
      </c>
      <c r="I32" s="2"/>
      <c r="J32" s="2"/>
      <c r="K32" s="2">
        <v>1</v>
      </c>
      <c r="L32" s="2" t="s">
        <v>23</v>
      </c>
      <c r="M32" s="9" t="str">
        <f t="shared" si="0"/>
        <v>CoA009-1d1d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21</v>
      </c>
      <c r="B33" s="2" t="s">
        <v>57</v>
      </c>
      <c r="C33" s="2" t="s">
        <v>200</v>
      </c>
      <c r="D33" s="3">
        <v>5</v>
      </c>
      <c r="E33" s="3">
        <v>3</v>
      </c>
      <c r="F33" s="3">
        <v>10</v>
      </c>
      <c r="G33" s="2">
        <v>1</v>
      </c>
      <c r="H33" s="2" t="s">
        <v>23</v>
      </c>
      <c r="I33" s="2">
        <v>30</v>
      </c>
      <c r="J33" s="2" t="s">
        <v>23</v>
      </c>
      <c r="K33" s="2">
        <v>90</v>
      </c>
      <c r="L33" s="2" t="s">
        <v>23</v>
      </c>
      <c r="M33" s="9" t="str">
        <f t="shared" si="0"/>
        <v>CoA010-1d90d</v>
      </c>
      <c r="N33" s="9">
        <f t="shared" si="1"/>
        <v>3</v>
      </c>
      <c r="O33" s="2" t="str">
        <f t="shared" si="2"/>
        <v>Uma vez por dia, a cada 30 dias, por um período de 90 dias</v>
      </c>
    </row>
    <row r="34" spans="1:15" x14ac:dyDescent="0.25">
      <c r="A34" s="2" t="s">
        <v>21</v>
      </c>
      <c r="B34" s="2" t="s">
        <v>57</v>
      </c>
      <c r="C34" s="2" t="s">
        <v>201</v>
      </c>
      <c r="D34" s="3">
        <v>5</v>
      </c>
      <c r="E34" s="3">
        <v>3</v>
      </c>
      <c r="F34" s="3">
        <v>11</v>
      </c>
      <c r="G34" s="2"/>
      <c r="H34" s="2"/>
      <c r="I34" s="2"/>
      <c r="J34" s="2"/>
      <c r="K34" s="2"/>
      <c r="L34" s="2"/>
      <c r="M34" s="9" t="str">
        <f t="shared" si="0"/>
        <v>CoA011-0d0d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21</v>
      </c>
      <c r="B35" s="2" t="s">
        <v>57</v>
      </c>
      <c r="C35" s="2" t="s">
        <v>202</v>
      </c>
      <c r="D35" s="3">
        <v>5</v>
      </c>
      <c r="E35" s="3">
        <v>3</v>
      </c>
      <c r="F35" s="3">
        <v>12</v>
      </c>
      <c r="G35" s="2">
        <v>1</v>
      </c>
      <c r="H35" s="2" t="s">
        <v>23</v>
      </c>
      <c r="I35" s="2"/>
      <c r="J35" s="2"/>
      <c r="K35" s="2">
        <v>1</v>
      </c>
      <c r="L35" s="2" t="s">
        <v>23</v>
      </c>
      <c r="M35" s="9" t="str">
        <f t="shared" si="0"/>
        <v>CoA012-1d1d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21</v>
      </c>
      <c r="B36" s="2" t="s">
        <v>57</v>
      </c>
      <c r="C36" s="2" t="s">
        <v>203</v>
      </c>
      <c r="D36" s="3">
        <v>5</v>
      </c>
      <c r="E36" s="3">
        <v>3</v>
      </c>
      <c r="F36" s="3">
        <v>13</v>
      </c>
      <c r="G36" s="2">
        <v>1</v>
      </c>
      <c r="H36" s="2" t="s">
        <v>23</v>
      </c>
      <c r="I36" s="2">
        <v>30</v>
      </c>
      <c r="J36" s="2" t="s">
        <v>23</v>
      </c>
      <c r="K36" s="2">
        <v>90</v>
      </c>
      <c r="L36" s="2" t="s">
        <v>23</v>
      </c>
      <c r="M36" s="9" t="str">
        <f t="shared" si="0"/>
        <v>CoA013-1d90d</v>
      </c>
      <c r="N36" s="9">
        <f t="shared" si="1"/>
        <v>3</v>
      </c>
      <c r="O36" s="2" t="str">
        <f t="shared" si="2"/>
        <v>Uma vez por dia, a cada 30 dias, por um período de 90 dias</v>
      </c>
    </row>
    <row r="37" spans="1:15" x14ac:dyDescent="0.25">
      <c r="A37" s="2" t="s">
        <v>21</v>
      </c>
      <c r="B37" s="2" t="s">
        <v>57</v>
      </c>
      <c r="C37" s="2" t="s">
        <v>204</v>
      </c>
      <c r="D37" s="3">
        <v>5</v>
      </c>
      <c r="E37" s="3">
        <v>3</v>
      </c>
      <c r="F37" s="3">
        <v>14</v>
      </c>
      <c r="G37" s="2">
        <v>1</v>
      </c>
      <c r="H37" s="2" t="s">
        <v>23</v>
      </c>
      <c r="I37" s="2">
        <v>21</v>
      </c>
      <c r="J37" s="2" t="s">
        <v>23</v>
      </c>
      <c r="K37" s="2">
        <v>21</v>
      </c>
      <c r="L37" s="2" t="s">
        <v>23</v>
      </c>
      <c r="M37" s="9" t="str">
        <f t="shared" si="0"/>
        <v>CoA014-1d21d</v>
      </c>
      <c r="N37" s="9">
        <f t="shared" si="1"/>
        <v>3</v>
      </c>
      <c r="O37" s="2" t="str">
        <f t="shared" si="2"/>
        <v>Uma vez por dia, a cada 21 dias, por um período de 21 dias</v>
      </c>
    </row>
    <row r="38" spans="1:15" x14ac:dyDescent="0.25">
      <c r="A38" s="2" t="s">
        <v>21</v>
      </c>
      <c r="B38" s="2" t="s">
        <v>57</v>
      </c>
      <c r="C38" s="2" t="s">
        <v>205</v>
      </c>
      <c r="D38" s="3">
        <v>5</v>
      </c>
      <c r="E38" s="3">
        <v>3</v>
      </c>
      <c r="F38" s="3">
        <v>15</v>
      </c>
      <c r="G38" s="2">
        <v>1</v>
      </c>
      <c r="H38" s="2" t="s">
        <v>23</v>
      </c>
      <c r="I38" s="2"/>
      <c r="J38" s="2"/>
      <c r="K38" s="2">
        <v>1</v>
      </c>
      <c r="L38" s="2" t="s">
        <v>23</v>
      </c>
      <c r="M38" s="9" t="str">
        <f t="shared" si="0"/>
        <v>CoA015-1d1d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64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6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6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tabSelected="1" zoomScale="145" zoomScaleNormal="145" workbookViewId="0">
      <pane ySplit="1" topLeftCell="A33" activePane="bottomLeft" state="frozen"/>
      <selection pane="bottomLeft" activeCell="M1" sqref="M1"/>
    </sheetView>
  </sheetViews>
  <sheetFormatPr defaultRowHeight="15" x14ac:dyDescent="0.25"/>
  <cols>
    <col min="1" max="1" width="6.5703125" bestFit="1" customWidth="1"/>
    <col min="2" max="2" width="9.5703125" bestFit="1" customWidth="1"/>
    <col min="3" max="3" width="59.28515625" bestFit="1" customWidth="1"/>
    <col min="4" max="7" width="3.7109375" style="10" bestFit="1" customWidth="1"/>
    <col min="8" max="8" width="3.7109375" style="10" customWidth="1"/>
    <col min="9" max="9" width="3.7109375" style="10" bestFit="1" customWidth="1"/>
    <col min="10" max="10" width="3.7109375" style="10" customWidth="1"/>
    <col min="11" max="11" width="3.7109375" style="10" bestFit="1" customWidth="1"/>
    <col min="12" max="12" width="3.710937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7" s="6" customFormat="1" ht="117.75" x14ac:dyDescent="0.25">
      <c r="A1" s="5" t="s">
        <v>25</v>
      </c>
      <c r="B1" s="5" t="s">
        <v>26</v>
      </c>
      <c r="C1" s="5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13" t="s">
        <v>37</v>
      </c>
      <c r="N1" s="13" t="s">
        <v>38</v>
      </c>
      <c r="O1" s="13" t="s">
        <v>243</v>
      </c>
      <c r="P1" s="16"/>
      <c r="Q1" s="16"/>
    </row>
    <row r="2" spans="1:17" x14ac:dyDescent="0.25">
      <c r="A2" s="2" t="s">
        <v>22</v>
      </c>
      <c r="B2" s="2" t="s">
        <v>39</v>
      </c>
      <c r="C2" s="2" t="s">
        <v>302</v>
      </c>
      <c r="D2" s="8">
        <v>2</v>
      </c>
      <c r="E2" s="8">
        <v>1</v>
      </c>
      <c r="F2" s="8">
        <v>1</v>
      </c>
      <c r="G2" s="9">
        <v>1</v>
      </c>
      <c r="H2" s="9" t="s">
        <v>23</v>
      </c>
      <c r="I2" s="9"/>
      <c r="J2" s="9"/>
      <c r="K2" s="9">
        <v>14</v>
      </c>
      <c r="L2" s="9" t="s">
        <v>23</v>
      </c>
      <c r="M2" s="9" t="str">
        <f>LEFT(A2,2)&amp;LEFT(B2,1)&amp;TEXT(F2,"000")&amp;"-"&amp;IF(
  AND(G2="",H2="",K2="",L2=""),
  "0d0d",
  TEXT(G2,"0")&amp;LOWER(H2)&amp;TEXT(K2,"0")&amp;LOWER(L2)
)</f>
        <v>IgB001-1d14d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14 dias</v>
      </c>
    </row>
    <row r="3" spans="1:17" x14ac:dyDescent="0.25">
      <c r="A3" s="2" t="s">
        <v>22</v>
      </c>
      <c r="B3" s="2" t="s">
        <v>39</v>
      </c>
      <c r="C3" s="2" t="s">
        <v>206</v>
      </c>
      <c r="D3" s="8">
        <v>2</v>
      </c>
      <c r="E3" s="8">
        <v>1</v>
      </c>
      <c r="F3" s="8">
        <v>2</v>
      </c>
      <c r="G3" s="9">
        <v>1</v>
      </c>
      <c r="H3" s="9" t="s">
        <v>23</v>
      </c>
      <c r="I3" s="9">
        <v>7</v>
      </c>
      <c r="J3" s="9" t="s">
        <v>23</v>
      </c>
      <c r="K3" s="9">
        <v>14</v>
      </c>
      <c r="L3" s="9" t="s">
        <v>23</v>
      </c>
      <c r="M3" s="9" t="str">
        <f t="shared" ref="M3:M38" si="0">LEFT(A3,2)&amp;LEFT(B3,1)&amp;TEXT(F3,"000")&amp;"-"&amp;IF(
  AND(G3="",H3="",K3="",L3=""),
  "0d0d",
  TEXT(G3,"0")&amp;LOWER(H3)&amp;TEXT(K3,"0")&amp;LOWER(L3)
)</f>
        <v>IgB002-1d14d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dia, a cada 7 dias, por um período de 14 dias</v>
      </c>
    </row>
    <row r="4" spans="1:17" x14ac:dyDescent="0.25">
      <c r="A4" s="2" t="s">
        <v>22</v>
      </c>
      <c r="B4" s="2" t="s">
        <v>39</v>
      </c>
      <c r="C4" s="2" t="s">
        <v>303</v>
      </c>
      <c r="D4" s="8">
        <v>2</v>
      </c>
      <c r="E4" s="8">
        <v>1</v>
      </c>
      <c r="F4" s="8">
        <v>3</v>
      </c>
      <c r="G4" s="9">
        <v>1</v>
      </c>
      <c r="H4" s="9" t="s">
        <v>23</v>
      </c>
      <c r="I4" s="9">
        <v>7</v>
      </c>
      <c r="J4" s="9" t="s">
        <v>23</v>
      </c>
      <c r="K4" s="9">
        <v>14</v>
      </c>
      <c r="L4" s="9" t="s">
        <v>23</v>
      </c>
      <c r="M4" s="9" t="str">
        <f t="shared" si="0"/>
        <v>IgB003-1d14d</v>
      </c>
      <c r="N4" s="9">
        <f t="shared" si="1"/>
        <v>1</v>
      </c>
      <c r="O4" s="2" t="str">
        <f t="shared" si="2"/>
        <v>Uma vez por dia, a cada 7 dias, por um período de 14 dias</v>
      </c>
    </row>
    <row r="5" spans="1:17" x14ac:dyDescent="0.25">
      <c r="A5" s="2" t="s">
        <v>22</v>
      </c>
      <c r="B5" s="2" t="s">
        <v>39</v>
      </c>
      <c r="C5" s="2" t="s">
        <v>207</v>
      </c>
      <c r="D5" s="8">
        <v>2</v>
      </c>
      <c r="E5" s="8">
        <v>1</v>
      </c>
      <c r="F5" s="8">
        <v>4</v>
      </c>
      <c r="G5" s="9">
        <v>1</v>
      </c>
      <c r="H5" s="9" t="s">
        <v>23</v>
      </c>
      <c r="I5" s="9"/>
      <c r="J5" s="9"/>
      <c r="K5" s="9">
        <v>1</v>
      </c>
      <c r="L5" s="9" t="s">
        <v>23</v>
      </c>
      <c r="M5" s="9" t="str">
        <f t="shared" si="0"/>
        <v>IgB004-1d1d</v>
      </c>
      <c r="N5" s="9">
        <f t="shared" si="1"/>
        <v>1</v>
      </c>
      <c r="O5" s="2" t="str">
        <f t="shared" si="2"/>
        <v>Pelo menos uma vez</v>
      </c>
    </row>
    <row r="6" spans="1:17" x14ac:dyDescent="0.25">
      <c r="A6" s="2" t="s">
        <v>22</v>
      </c>
      <c r="B6" s="2" t="s">
        <v>39</v>
      </c>
      <c r="C6" s="2" t="s">
        <v>208</v>
      </c>
      <c r="D6" s="8">
        <v>2</v>
      </c>
      <c r="E6" s="8">
        <v>1</v>
      </c>
      <c r="F6" s="8">
        <v>5</v>
      </c>
      <c r="G6" s="9">
        <v>1</v>
      </c>
      <c r="H6" s="9" t="s">
        <v>23</v>
      </c>
      <c r="I6" s="9"/>
      <c r="J6" s="9"/>
      <c r="K6" s="9">
        <v>1</v>
      </c>
      <c r="L6" s="9" t="s">
        <v>23</v>
      </c>
      <c r="M6" s="9" t="str">
        <f t="shared" si="0"/>
        <v>IgB005-1d1d</v>
      </c>
      <c r="N6" s="9">
        <f t="shared" si="1"/>
        <v>1</v>
      </c>
      <c r="O6" s="2" t="str">
        <f t="shared" si="2"/>
        <v>Pelo menos uma vez</v>
      </c>
    </row>
    <row r="7" spans="1:17" x14ac:dyDescent="0.25">
      <c r="A7" s="2" t="s">
        <v>22</v>
      </c>
      <c r="B7" s="2" t="s">
        <v>39</v>
      </c>
      <c r="C7" s="2" t="s">
        <v>209</v>
      </c>
      <c r="D7" s="8">
        <v>2</v>
      </c>
      <c r="E7" s="8">
        <v>1</v>
      </c>
      <c r="F7" s="8">
        <v>6</v>
      </c>
      <c r="G7" s="9">
        <v>1</v>
      </c>
      <c r="H7" s="9" t="s">
        <v>23</v>
      </c>
      <c r="I7" s="9"/>
      <c r="J7" s="9"/>
      <c r="K7" s="9">
        <v>1</v>
      </c>
      <c r="L7" s="9" t="s">
        <v>23</v>
      </c>
      <c r="M7" s="9" t="str">
        <f t="shared" si="0"/>
        <v>IgB006-1d1d</v>
      </c>
      <c r="N7" s="9">
        <f t="shared" si="1"/>
        <v>1</v>
      </c>
      <c r="O7" s="2" t="str">
        <f t="shared" si="2"/>
        <v>Pelo menos uma vez</v>
      </c>
    </row>
    <row r="8" spans="1:17" x14ac:dyDescent="0.25">
      <c r="A8" s="2" t="s">
        <v>22</v>
      </c>
      <c r="B8" s="2" t="s">
        <v>39</v>
      </c>
      <c r="C8" s="2" t="s">
        <v>210</v>
      </c>
      <c r="D8" s="8">
        <v>2</v>
      </c>
      <c r="E8" s="8">
        <v>1</v>
      </c>
      <c r="F8" s="8">
        <v>7</v>
      </c>
      <c r="G8" s="9">
        <v>1</v>
      </c>
      <c r="H8" s="9" t="s">
        <v>23</v>
      </c>
      <c r="I8" s="9"/>
      <c r="J8" s="9"/>
      <c r="K8" s="9">
        <v>1</v>
      </c>
      <c r="L8" s="9" t="s">
        <v>23</v>
      </c>
      <c r="M8" s="9" t="str">
        <f t="shared" si="0"/>
        <v>IgB007-1d1d</v>
      </c>
      <c r="N8" s="9">
        <f t="shared" si="1"/>
        <v>1</v>
      </c>
      <c r="O8" s="2" t="str">
        <f t="shared" si="2"/>
        <v>Pelo menos uma vez</v>
      </c>
    </row>
    <row r="9" spans="1:17" x14ac:dyDescent="0.25">
      <c r="A9" s="2" t="s">
        <v>22</v>
      </c>
      <c r="B9" s="2" t="s">
        <v>39</v>
      </c>
      <c r="C9" s="2" t="s">
        <v>211</v>
      </c>
      <c r="D9" s="8">
        <v>2</v>
      </c>
      <c r="E9" s="8">
        <v>1</v>
      </c>
      <c r="F9" s="8">
        <v>8</v>
      </c>
      <c r="G9" s="9">
        <v>1</v>
      </c>
      <c r="H9" s="9" t="s">
        <v>23</v>
      </c>
      <c r="I9" s="9"/>
      <c r="J9" s="9"/>
      <c r="K9" s="9">
        <v>1</v>
      </c>
      <c r="L9" s="9" t="s">
        <v>23</v>
      </c>
      <c r="M9" s="9" t="str">
        <f t="shared" si="0"/>
        <v>IgB008-1d1d</v>
      </c>
      <c r="N9" s="9">
        <f t="shared" si="1"/>
        <v>1</v>
      </c>
      <c r="O9" s="2" t="str">
        <f t="shared" si="2"/>
        <v>Pelo menos uma vez</v>
      </c>
    </row>
    <row r="10" spans="1:17" x14ac:dyDescent="0.25">
      <c r="A10" s="2" t="s">
        <v>22</v>
      </c>
      <c r="B10" s="2" t="s">
        <v>39</v>
      </c>
      <c r="C10" s="2" t="s">
        <v>212</v>
      </c>
      <c r="D10" s="8">
        <v>2</v>
      </c>
      <c r="E10" s="8">
        <v>1</v>
      </c>
      <c r="F10" s="8">
        <v>9</v>
      </c>
      <c r="G10" s="9">
        <v>1</v>
      </c>
      <c r="H10" s="9" t="s">
        <v>23</v>
      </c>
      <c r="I10" s="9"/>
      <c r="J10" s="9"/>
      <c r="K10" s="9">
        <v>1</v>
      </c>
      <c r="L10" s="9" t="s">
        <v>23</v>
      </c>
      <c r="M10" s="9" t="str">
        <f t="shared" si="0"/>
        <v>IgB009-1d1d</v>
      </c>
      <c r="N10" s="9">
        <f t="shared" si="1"/>
        <v>1</v>
      </c>
      <c r="O10" s="2" t="str">
        <f t="shared" si="2"/>
        <v>Pelo menos uma vez</v>
      </c>
    </row>
    <row r="11" spans="1:17" x14ac:dyDescent="0.25">
      <c r="A11" s="2" t="s">
        <v>22</v>
      </c>
      <c r="B11" s="2" t="s">
        <v>39</v>
      </c>
      <c r="C11" s="2" t="s">
        <v>213</v>
      </c>
      <c r="D11" s="8">
        <v>2</v>
      </c>
      <c r="E11" s="8">
        <v>1</v>
      </c>
      <c r="F11" s="8">
        <v>10</v>
      </c>
      <c r="G11" s="9">
        <v>1</v>
      </c>
      <c r="H11" s="9" t="s">
        <v>23</v>
      </c>
      <c r="I11" s="9">
        <v>7</v>
      </c>
      <c r="J11" s="9" t="s">
        <v>23</v>
      </c>
      <c r="K11" s="9">
        <v>21</v>
      </c>
      <c r="L11" s="9" t="s">
        <v>23</v>
      </c>
      <c r="M11" s="9" t="str">
        <f t="shared" si="0"/>
        <v>IgB010-1d21d</v>
      </c>
      <c r="N11" s="9">
        <f t="shared" si="1"/>
        <v>1</v>
      </c>
      <c r="O11" s="2" t="str">
        <f t="shared" si="2"/>
        <v>Uma vez por dia, a cada 7 dias, por um período de 21 dias</v>
      </c>
    </row>
    <row r="12" spans="1:17" x14ac:dyDescent="0.25">
      <c r="A12" s="2" t="s">
        <v>22</v>
      </c>
      <c r="B12" s="2" t="s">
        <v>48</v>
      </c>
      <c r="C12" s="2" t="s">
        <v>214</v>
      </c>
      <c r="D12" s="8">
        <v>2</v>
      </c>
      <c r="E12" s="8">
        <v>2</v>
      </c>
      <c r="F12" s="8">
        <v>1</v>
      </c>
      <c r="G12" s="9">
        <v>1</v>
      </c>
      <c r="H12" s="9" t="s">
        <v>23</v>
      </c>
      <c r="I12" s="9"/>
      <c r="J12" s="9"/>
      <c r="K12" s="9">
        <v>1</v>
      </c>
      <c r="L12" s="9" t="s">
        <v>23</v>
      </c>
      <c r="M12" s="9" t="str">
        <f t="shared" si="0"/>
        <v>IgD001-1d1d</v>
      </c>
      <c r="N12" s="9">
        <f t="shared" si="1"/>
        <v>2</v>
      </c>
      <c r="O12" s="2" t="str">
        <f t="shared" si="2"/>
        <v>Pelo menos uma vez</v>
      </c>
    </row>
    <row r="13" spans="1:17" x14ac:dyDescent="0.25">
      <c r="A13" s="2" t="s">
        <v>22</v>
      </c>
      <c r="B13" s="2" t="s">
        <v>48</v>
      </c>
      <c r="C13" s="2" t="s">
        <v>215</v>
      </c>
      <c r="D13" s="8">
        <v>2</v>
      </c>
      <c r="E13" s="8">
        <v>2</v>
      </c>
      <c r="F13" s="8">
        <v>2</v>
      </c>
      <c r="G13" s="9">
        <v>1</v>
      </c>
      <c r="H13" s="9" t="s">
        <v>23</v>
      </c>
      <c r="I13" s="9"/>
      <c r="J13" s="9"/>
      <c r="K13" s="9">
        <v>1</v>
      </c>
      <c r="L13" s="9" t="s">
        <v>23</v>
      </c>
      <c r="M13" s="9" t="str">
        <f t="shared" si="0"/>
        <v>IgD002-1d1d</v>
      </c>
      <c r="N13" s="9">
        <f t="shared" si="1"/>
        <v>2</v>
      </c>
      <c r="O13" s="2" t="str">
        <f t="shared" si="2"/>
        <v>Pelo menos uma vez</v>
      </c>
    </row>
    <row r="14" spans="1:17" x14ac:dyDescent="0.25">
      <c r="A14" s="2" t="s">
        <v>22</v>
      </c>
      <c r="B14" s="2" t="s">
        <v>48</v>
      </c>
      <c r="C14" s="2" t="s">
        <v>216</v>
      </c>
      <c r="D14" s="8">
        <v>2</v>
      </c>
      <c r="E14" s="8">
        <v>2</v>
      </c>
      <c r="F14" s="8">
        <v>3</v>
      </c>
      <c r="G14" s="9">
        <v>1</v>
      </c>
      <c r="H14" s="9" t="s">
        <v>23</v>
      </c>
      <c r="I14" s="9"/>
      <c r="J14" s="9"/>
      <c r="K14" s="9">
        <v>1</v>
      </c>
      <c r="L14" s="9" t="s">
        <v>23</v>
      </c>
      <c r="M14" s="9" t="str">
        <f t="shared" si="0"/>
        <v>IgD003-1d1d</v>
      </c>
      <c r="N14" s="9">
        <f t="shared" si="1"/>
        <v>2</v>
      </c>
      <c r="O14" s="2" t="str">
        <f t="shared" si="2"/>
        <v>Pelo menos uma vez</v>
      </c>
    </row>
    <row r="15" spans="1:17" x14ac:dyDescent="0.25">
      <c r="A15" s="2" t="s">
        <v>22</v>
      </c>
      <c r="B15" s="2" t="s">
        <v>48</v>
      </c>
      <c r="C15" s="2" t="s">
        <v>217</v>
      </c>
      <c r="D15" s="8">
        <v>2</v>
      </c>
      <c r="E15" s="8">
        <v>2</v>
      </c>
      <c r="F15" s="8">
        <v>4</v>
      </c>
      <c r="G15" s="9">
        <v>1</v>
      </c>
      <c r="H15" s="9" t="s">
        <v>23</v>
      </c>
      <c r="I15" s="9"/>
      <c r="J15" s="9"/>
      <c r="K15" s="9">
        <v>1</v>
      </c>
      <c r="L15" s="9" t="s">
        <v>23</v>
      </c>
      <c r="M15" s="9" t="str">
        <f t="shared" si="0"/>
        <v>IgD004-1d1d</v>
      </c>
      <c r="N15" s="9">
        <f t="shared" si="1"/>
        <v>2</v>
      </c>
      <c r="O15" s="2" t="str">
        <f t="shared" si="2"/>
        <v>Pelo menos uma vez</v>
      </c>
    </row>
    <row r="16" spans="1:17" x14ac:dyDescent="0.25">
      <c r="A16" s="2" t="s">
        <v>22</v>
      </c>
      <c r="B16" s="2" t="s">
        <v>48</v>
      </c>
      <c r="C16" s="2" t="s">
        <v>218</v>
      </c>
      <c r="D16" s="8">
        <v>2</v>
      </c>
      <c r="E16" s="8">
        <v>2</v>
      </c>
      <c r="F16" s="8">
        <v>5</v>
      </c>
      <c r="G16" s="9">
        <v>1</v>
      </c>
      <c r="H16" s="9" t="s">
        <v>23</v>
      </c>
      <c r="I16" s="9"/>
      <c r="J16" s="9"/>
      <c r="K16" s="9">
        <v>1</v>
      </c>
      <c r="L16" s="9" t="s">
        <v>23</v>
      </c>
      <c r="M16" s="9" t="str">
        <f t="shared" si="0"/>
        <v>IgD005-1d1d</v>
      </c>
      <c r="N16" s="9">
        <f t="shared" si="1"/>
        <v>2</v>
      </c>
      <c r="O16" s="2" t="str">
        <f t="shared" si="2"/>
        <v>Pelo menos uma vez</v>
      </c>
    </row>
    <row r="17" spans="1:15" x14ac:dyDescent="0.25">
      <c r="A17" s="2" t="s">
        <v>22</v>
      </c>
      <c r="B17" s="2" t="s">
        <v>48</v>
      </c>
      <c r="C17" s="2" t="s">
        <v>219</v>
      </c>
      <c r="D17" s="8">
        <v>2</v>
      </c>
      <c r="E17" s="8">
        <v>2</v>
      </c>
      <c r="F17" s="8">
        <v>6</v>
      </c>
      <c r="G17" s="9">
        <v>1</v>
      </c>
      <c r="H17" s="9" t="s">
        <v>23</v>
      </c>
      <c r="I17" s="9">
        <v>7</v>
      </c>
      <c r="J17" s="9" t="s">
        <v>23</v>
      </c>
      <c r="K17" s="9">
        <v>30</v>
      </c>
      <c r="L17" s="9" t="s">
        <v>23</v>
      </c>
      <c r="M17" s="9" t="str">
        <f t="shared" si="0"/>
        <v>IgD006-1d30d</v>
      </c>
      <c r="N17" s="9">
        <f t="shared" si="1"/>
        <v>2</v>
      </c>
      <c r="O17" s="2" t="str">
        <f t="shared" si="2"/>
        <v>Uma vez por dia, a cada 7 dias, por um período de 30 dias</v>
      </c>
    </row>
    <row r="18" spans="1:15" x14ac:dyDescent="0.25">
      <c r="A18" s="2" t="s">
        <v>22</v>
      </c>
      <c r="B18" s="2" t="s">
        <v>48</v>
      </c>
      <c r="C18" s="2" t="s">
        <v>220</v>
      </c>
      <c r="D18" s="8">
        <v>2</v>
      </c>
      <c r="E18" s="8">
        <v>2</v>
      </c>
      <c r="F18" s="8">
        <v>7</v>
      </c>
      <c r="G18" s="9">
        <v>1</v>
      </c>
      <c r="H18" s="9" t="s">
        <v>23</v>
      </c>
      <c r="I18" s="9"/>
      <c r="J18" s="9"/>
      <c r="K18" s="9">
        <v>7</v>
      </c>
      <c r="L18" s="9" t="s">
        <v>23</v>
      </c>
      <c r="M18" s="9" t="str">
        <f t="shared" si="0"/>
        <v>IgD007-1d7d</v>
      </c>
      <c r="N18" s="9">
        <f t="shared" si="1"/>
        <v>2</v>
      </c>
      <c r="O18" s="2" t="str">
        <f t="shared" si="2"/>
        <v>Uma vez por dia por um período de 7 dias</v>
      </c>
    </row>
    <row r="19" spans="1:15" x14ac:dyDescent="0.25">
      <c r="A19" s="2" t="s">
        <v>22</v>
      </c>
      <c r="B19" s="2" t="s">
        <v>48</v>
      </c>
      <c r="C19" s="2" t="s">
        <v>221</v>
      </c>
      <c r="D19" s="8">
        <v>2</v>
      </c>
      <c r="E19" s="8">
        <v>2</v>
      </c>
      <c r="F19" s="8">
        <v>8</v>
      </c>
      <c r="G19" s="9">
        <v>1</v>
      </c>
      <c r="H19" s="9" t="s">
        <v>23</v>
      </c>
      <c r="I19" s="9">
        <v>3</v>
      </c>
      <c r="J19" s="9" t="s">
        <v>23</v>
      </c>
      <c r="K19" s="9">
        <v>7</v>
      </c>
      <c r="L19" s="9" t="s">
        <v>23</v>
      </c>
      <c r="M19" s="9" t="str">
        <f t="shared" si="0"/>
        <v>IgD008-1d7d</v>
      </c>
      <c r="N19" s="9">
        <f t="shared" si="1"/>
        <v>2</v>
      </c>
      <c r="O19" s="2" t="str">
        <f t="shared" si="2"/>
        <v>Uma vez por dia, a cada 3 dias, por um período de 7 dias</v>
      </c>
    </row>
    <row r="20" spans="1:15" x14ac:dyDescent="0.25">
      <c r="A20" s="2" t="s">
        <v>22</v>
      </c>
      <c r="B20" s="2" t="s">
        <v>48</v>
      </c>
      <c r="C20" s="2" t="s">
        <v>222</v>
      </c>
      <c r="D20" s="8">
        <v>2</v>
      </c>
      <c r="E20" s="8">
        <v>2</v>
      </c>
      <c r="F20" s="8">
        <v>9</v>
      </c>
      <c r="G20" s="9">
        <v>1</v>
      </c>
      <c r="H20" s="9" t="s">
        <v>23</v>
      </c>
      <c r="I20" s="9"/>
      <c r="J20" s="9"/>
      <c r="K20" s="9">
        <v>1</v>
      </c>
      <c r="L20" s="9" t="s">
        <v>23</v>
      </c>
      <c r="M20" s="9" t="str">
        <f t="shared" si="0"/>
        <v>IgD009-1d1d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22</v>
      </c>
      <c r="B21" s="2" t="s">
        <v>48</v>
      </c>
      <c r="C21" s="2" t="s">
        <v>304</v>
      </c>
      <c r="D21" s="8">
        <v>2</v>
      </c>
      <c r="E21" s="8">
        <v>2</v>
      </c>
      <c r="F21" s="8">
        <v>10</v>
      </c>
      <c r="G21" s="9">
        <v>1</v>
      </c>
      <c r="H21" s="9" t="s">
        <v>23</v>
      </c>
      <c r="I21" s="9"/>
      <c r="J21" s="9"/>
      <c r="K21" s="9">
        <v>1</v>
      </c>
      <c r="L21" s="9" t="s">
        <v>23</v>
      </c>
      <c r="M21" s="9" t="str">
        <f t="shared" si="0"/>
        <v>IgD010-1d1d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22</v>
      </c>
      <c r="B22" s="2" t="s">
        <v>48</v>
      </c>
      <c r="C22" s="2" t="s">
        <v>223</v>
      </c>
      <c r="D22" s="8">
        <v>2</v>
      </c>
      <c r="E22" s="8">
        <v>2</v>
      </c>
      <c r="F22" s="8">
        <v>11</v>
      </c>
      <c r="G22" s="9">
        <v>1</v>
      </c>
      <c r="H22" s="9" t="s">
        <v>23</v>
      </c>
      <c r="I22" s="9"/>
      <c r="J22" s="9"/>
      <c r="K22" s="9">
        <v>1</v>
      </c>
      <c r="L22" s="9" t="s">
        <v>23</v>
      </c>
      <c r="M22" s="9" t="str">
        <f t="shared" si="0"/>
        <v>IgD011-1d1d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22</v>
      </c>
      <c r="B23" s="2" t="s">
        <v>48</v>
      </c>
      <c r="C23" s="2" t="s">
        <v>224</v>
      </c>
      <c r="D23" s="8">
        <v>2</v>
      </c>
      <c r="E23" s="8">
        <v>2</v>
      </c>
      <c r="F23" s="8">
        <v>12</v>
      </c>
      <c r="G23" s="9">
        <v>1</v>
      </c>
      <c r="H23" s="9" t="s">
        <v>23</v>
      </c>
      <c r="I23" s="9"/>
      <c r="J23" s="9"/>
      <c r="K23" s="9">
        <v>1</v>
      </c>
      <c r="L23" s="9" t="s">
        <v>23</v>
      </c>
      <c r="M23" s="9" t="str">
        <f t="shared" si="0"/>
        <v>IgD012-1d1d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22</v>
      </c>
      <c r="B24" s="2" t="s">
        <v>57</v>
      </c>
      <c r="C24" s="2" t="s">
        <v>225</v>
      </c>
      <c r="D24" s="8">
        <v>2</v>
      </c>
      <c r="E24" s="8">
        <v>3</v>
      </c>
      <c r="F24" s="8">
        <v>1</v>
      </c>
      <c r="G24" s="9">
        <v>1</v>
      </c>
      <c r="H24" s="9" t="s">
        <v>23</v>
      </c>
      <c r="I24" s="9">
        <v>7</v>
      </c>
      <c r="J24" s="9" t="s">
        <v>23</v>
      </c>
      <c r="K24" s="9">
        <v>30</v>
      </c>
      <c r="L24" s="9" t="s">
        <v>23</v>
      </c>
      <c r="M24" s="9" t="str">
        <f t="shared" si="0"/>
        <v>IgA001-1d30d</v>
      </c>
      <c r="N24" s="9">
        <f t="shared" si="1"/>
        <v>3</v>
      </c>
      <c r="O24" s="2" t="str">
        <f t="shared" si="2"/>
        <v>Uma vez por dia, a cada 7 dias, por um período de 30 dias</v>
      </c>
    </row>
    <row r="25" spans="1:15" x14ac:dyDescent="0.25">
      <c r="A25" s="2" t="s">
        <v>22</v>
      </c>
      <c r="B25" s="2" t="s">
        <v>57</v>
      </c>
      <c r="C25" s="2" t="s">
        <v>226</v>
      </c>
      <c r="D25" s="8">
        <v>2</v>
      </c>
      <c r="E25" s="8">
        <v>3</v>
      </c>
      <c r="F25" s="8">
        <v>2</v>
      </c>
      <c r="G25" s="9">
        <v>1</v>
      </c>
      <c r="H25" s="9" t="s">
        <v>23</v>
      </c>
      <c r="I25" s="9"/>
      <c r="J25" s="9"/>
      <c r="K25" s="9">
        <v>1</v>
      </c>
      <c r="L25" s="9" t="s">
        <v>23</v>
      </c>
      <c r="M25" s="9" t="str">
        <f t="shared" si="0"/>
        <v>IgA002-1d1d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22</v>
      </c>
      <c r="B26" s="2" t="s">
        <v>57</v>
      </c>
      <c r="C26" s="2" t="s">
        <v>227</v>
      </c>
      <c r="D26" s="8">
        <v>2</v>
      </c>
      <c r="E26" s="8">
        <v>3</v>
      </c>
      <c r="F26" s="8">
        <v>3</v>
      </c>
      <c r="G26" s="9">
        <v>1</v>
      </c>
      <c r="H26" s="9" t="s">
        <v>23</v>
      </c>
      <c r="I26" s="9"/>
      <c r="J26" s="9"/>
      <c r="K26" s="9">
        <v>1</v>
      </c>
      <c r="L26" s="9" t="s">
        <v>23</v>
      </c>
      <c r="M26" s="9" t="str">
        <f t="shared" si="0"/>
        <v>IgA003-1d1d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22</v>
      </c>
      <c r="B27" s="2" t="s">
        <v>57</v>
      </c>
      <c r="C27" s="2" t="s">
        <v>228</v>
      </c>
      <c r="D27" s="8">
        <v>2</v>
      </c>
      <c r="E27" s="8">
        <v>3</v>
      </c>
      <c r="F27" s="8">
        <v>4</v>
      </c>
      <c r="G27" s="9">
        <v>1</v>
      </c>
      <c r="H27" s="9" t="s">
        <v>23</v>
      </c>
      <c r="I27" s="9"/>
      <c r="J27" s="9"/>
      <c r="K27" s="9">
        <v>1</v>
      </c>
      <c r="L27" s="9" t="s">
        <v>23</v>
      </c>
      <c r="M27" s="9" t="str">
        <f t="shared" si="0"/>
        <v>IgA004-1d1d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22</v>
      </c>
      <c r="B28" s="2" t="s">
        <v>57</v>
      </c>
      <c r="C28" s="2" t="s">
        <v>229</v>
      </c>
      <c r="D28" s="8">
        <v>2</v>
      </c>
      <c r="E28" s="8">
        <v>3</v>
      </c>
      <c r="F28" s="8">
        <v>5</v>
      </c>
      <c r="G28" s="9">
        <v>1</v>
      </c>
      <c r="H28" s="9" t="s">
        <v>23</v>
      </c>
      <c r="I28" s="9">
        <v>7</v>
      </c>
      <c r="J28" s="9" t="s">
        <v>23</v>
      </c>
      <c r="K28" s="9">
        <v>21</v>
      </c>
      <c r="L28" s="9" t="s">
        <v>23</v>
      </c>
      <c r="M28" s="9" t="str">
        <f t="shared" si="0"/>
        <v>IgA005-1d21d</v>
      </c>
      <c r="N28" s="9">
        <f t="shared" si="1"/>
        <v>3</v>
      </c>
      <c r="O28" s="2" t="str">
        <f t="shared" si="2"/>
        <v>Uma vez por dia, a cada 7 dias, por um período de 21 dias</v>
      </c>
    </row>
    <row r="29" spans="1:15" x14ac:dyDescent="0.25">
      <c r="A29" s="2" t="s">
        <v>22</v>
      </c>
      <c r="B29" s="2" t="s">
        <v>57</v>
      </c>
      <c r="C29" s="2" t="s">
        <v>305</v>
      </c>
      <c r="D29" s="8">
        <v>2</v>
      </c>
      <c r="E29" s="8">
        <v>3</v>
      </c>
      <c r="F29" s="8">
        <v>6</v>
      </c>
      <c r="G29" s="9">
        <v>1</v>
      </c>
      <c r="H29" s="9" t="s">
        <v>23</v>
      </c>
      <c r="I29" s="9"/>
      <c r="J29" s="9"/>
      <c r="K29" s="9">
        <v>30</v>
      </c>
      <c r="L29" s="9" t="s">
        <v>23</v>
      </c>
      <c r="M29" s="9" t="str">
        <f t="shared" si="0"/>
        <v>IgA006-1d30d</v>
      </c>
      <c r="N29" s="9">
        <f t="shared" si="1"/>
        <v>3</v>
      </c>
      <c r="O29" s="2" t="str">
        <f t="shared" si="2"/>
        <v>Uma vez por dia por um período de 30 dias</v>
      </c>
    </row>
    <row r="30" spans="1:15" x14ac:dyDescent="0.25">
      <c r="A30" s="2" t="s">
        <v>22</v>
      </c>
      <c r="B30" s="2" t="s">
        <v>57</v>
      </c>
      <c r="C30" s="2" t="s">
        <v>230</v>
      </c>
      <c r="D30" s="8">
        <v>2</v>
      </c>
      <c r="E30" s="8">
        <v>3</v>
      </c>
      <c r="F30" s="8">
        <v>7</v>
      </c>
      <c r="G30" s="9">
        <v>1</v>
      </c>
      <c r="H30" s="9" t="s">
        <v>23</v>
      </c>
      <c r="I30" s="9">
        <v>7</v>
      </c>
      <c r="J30" s="9" t="s">
        <v>23</v>
      </c>
      <c r="K30" s="9">
        <v>30</v>
      </c>
      <c r="L30" s="9" t="s">
        <v>23</v>
      </c>
      <c r="M30" s="9" t="str">
        <f t="shared" si="0"/>
        <v>IgA007-1d30d</v>
      </c>
      <c r="N30" s="9">
        <f t="shared" si="1"/>
        <v>3</v>
      </c>
      <c r="O30" s="2" t="str">
        <f t="shared" si="2"/>
        <v>Uma vez por dia, a cada 7 dias, por um período de 30 dias</v>
      </c>
    </row>
    <row r="31" spans="1:15" x14ac:dyDescent="0.25">
      <c r="A31" s="2" t="s">
        <v>22</v>
      </c>
      <c r="B31" s="2" t="s">
        <v>57</v>
      </c>
      <c r="C31" s="2" t="s">
        <v>231</v>
      </c>
      <c r="D31" s="8">
        <v>2</v>
      </c>
      <c r="E31" s="8">
        <v>3</v>
      </c>
      <c r="F31" s="8">
        <v>8</v>
      </c>
      <c r="G31" s="9">
        <v>1</v>
      </c>
      <c r="H31" s="9" t="s">
        <v>23</v>
      </c>
      <c r="I31" s="9"/>
      <c r="J31" s="9"/>
      <c r="K31" s="9">
        <v>3</v>
      </c>
      <c r="L31" s="9" t="s">
        <v>23</v>
      </c>
      <c r="M31" s="9" t="str">
        <f t="shared" si="0"/>
        <v>IgA008-1d3d</v>
      </c>
      <c r="N31" s="9">
        <f t="shared" si="1"/>
        <v>3</v>
      </c>
      <c r="O31" s="2" t="str">
        <f t="shared" si="2"/>
        <v>Uma vez por dia por um período de 3 dias</v>
      </c>
    </row>
    <row r="32" spans="1:15" x14ac:dyDescent="0.25">
      <c r="A32" s="2" t="s">
        <v>22</v>
      </c>
      <c r="B32" s="2" t="s">
        <v>57</v>
      </c>
      <c r="C32" s="2" t="s">
        <v>232</v>
      </c>
      <c r="D32" s="8">
        <v>2</v>
      </c>
      <c r="E32" s="8">
        <v>3</v>
      </c>
      <c r="F32" s="8">
        <v>9</v>
      </c>
      <c r="G32" s="9">
        <v>1</v>
      </c>
      <c r="H32" s="9" t="s">
        <v>23</v>
      </c>
      <c r="I32" s="9">
        <v>7</v>
      </c>
      <c r="J32" s="9" t="s">
        <v>23</v>
      </c>
      <c r="K32" s="9">
        <v>60</v>
      </c>
      <c r="L32" s="9" t="s">
        <v>23</v>
      </c>
      <c r="M32" s="9" t="str">
        <f t="shared" si="0"/>
        <v>IgA009-1d60d</v>
      </c>
      <c r="N32" s="9">
        <f t="shared" si="1"/>
        <v>3</v>
      </c>
      <c r="O32" s="2" t="str">
        <f t="shared" si="2"/>
        <v>Uma vez por dia, a cada 7 dias, por um período de 60 dias</v>
      </c>
    </row>
    <row r="33" spans="1:15" x14ac:dyDescent="0.25">
      <c r="A33" s="2" t="s">
        <v>22</v>
      </c>
      <c r="B33" s="2" t="s">
        <v>57</v>
      </c>
      <c r="C33" s="2" t="s">
        <v>306</v>
      </c>
      <c r="D33" s="8">
        <v>2</v>
      </c>
      <c r="E33" s="8">
        <v>3</v>
      </c>
      <c r="F33" s="8">
        <v>10</v>
      </c>
      <c r="G33" s="9">
        <v>1</v>
      </c>
      <c r="H33" s="9" t="s">
        <v>23</v>
      </c>
      <c r="I33" s="9">
        <v>7</v>
      </c>
      <c r="J33" s="9" t="s">
        <v>23</v>
      </c>
      <c r="K33" s="9">
        <v>60</v>
      </c>
      <c r="L33" s="9" t="s">
        <v>23</v>
      </c>
      <c r="M33" s="9" t="str">
        <f t="shared" si="0"/>
        <v>IgA010-1d60d</v>
      </c>
      <c r="N33" s="9">
        <f t="shared" si="1"/>
        <v>3</v>
      </c>
      <c r="O33" s="2" t="str">
        <f t="shared" si="2"/>
        <v>Uma vez por dia, a cada 7 dias, por um período de 60 dias</v>
      </c>
    </row>
    <row r="34" spans="1:15" x14ac:dyDescent="0.25">
      <c r="A34" s="2" t="s">
        <v>22</v>
      </c>
      <c r="B34" s="2" t="s">
        <v>57</v>
      </c>
      <c r="C34" s="2" t="s">
        <v>233</v>
      </c>
      <c r="D34" s="8">
        <v>2</v>
      </c>
      <c r="E34" s="8">
        <v>3</v>
      </c>
      <c r="F34" s="8">
        <v>11</v>
      </c>
      <c r="G34" s="9">
        <v>1</v>
      </c>
      <c r="H34" s="9" t="s">
        <v>23</v>
      </c>
      <c r="I34" s="9"/>
      <c r="J34" s="9"/>
      <c r="K34" s="9">
        <v>1</v>
      </c>
      <c r="L34" s="9" t="s">
        <v>23</v>
      </c>
      <c r="M34" s="9" t="str">
        <f t="shared" si="0"/>
        <v>IgA011-1d1d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22</v>
      </c>
      <c r="B35" s="2" t="s">
        <v>57</v>
      </c>
      <c r="C35" s="2" t="s">
        <v>234</v>
      </c>
      <c r="D35" s="8">
        <v>2</v>
      </c>
      <c r="E35" s="8">
        <v>3</v>
      </c>
      <c r="F35" s="8">
        <v>12</v>
      </c>
      <c r="G35" s="9">
        <v>1</v>
      </c>
      <c r="H35" s="9" t="s">
        <v>23</v>
      </c>
      <c r="I35" s="9"/>
      <c r="J35" s="9"/>
      <c r="K35" s="9">
        <v>1</v>
      </c>
      <c r="L35" s="9" t="s">
        <v>23</v>
      </c>
      <c r="M35" s="9" t="str">
        <f t="shared" si="0"/>
        <v>IgA012-1d1d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22</v>
      </c>
      <c r="B36" s="2" t="s">
        <v>57</v>
      </c>
      <c r="C36" s="2" t="s">
        <v>235</v>
      </c>
      <c r="D36" s="8">
        <v>2</v>
      </c>
      <c r="E36" s="8">
        <v>3</v>
      </c>
      <c r="F36" s="8">
        <v>13</v>
      </c>
      <c r="G36" s="9">
        <v>1</v>
      </c>
      <c r="H36" s="9" t="s">
        <v>23</v>
      </c>
      <c r="I36" s="9"/>
      <c r="J36" s="9"/>
      <c r="K36" s="9">
        <v>1</v>
      </c>
      <c r="L36" s="9" t="s">
        <v>23</v>
      </c>
      <c r="M36" s="9" t="str">
        <f t="shared" si="0"/>
        <v>IgA013-1d1d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22</v>
      </c>
      <c r="B37" s="2" t="s">
        <v>57</v>
      </c>
      <c r="C37" s="2" t="s">
        <v>236</v>
      </c>
      <c r="D37" s="8">
        <v>2</v>
      </c>
      <c r="E37" s="8">
        <v>3</v>
      </c>
      <c r="F37" s="8">
        <v>14</v>
      </c>
      <c r="G37" s="9">
        <v>1</v>
      </c>
      <c r="H37" s="9" t="s">
        <v>23</v>
      </c>
      <c r="I37" s="9">
        <v>7</v>
      </c>
      <c r="J37" s="9" t="s">
        <v>23</v>
      </c>
      <c r="K37" s="9">
        <v>30</v>
      </c>
      <c r="L37" s="9" t="s">
        <v>23</v>
      </c>
      <c r="M37" s="9" t="str">
        <f t="shared" si="0"/>
        <v>IgA014-1d30d</v>
      </c>
      <c r="N37" s="9">
        <f t="shared" si="1"/>
        <v>3</v>
      </c>
      <c r="O37" s="2" t="str">
        <f t="shared" si="2"/>
        <v>Uma vez por dia, a cada 7 dias, por um período de 30 dias</v>
      </c>
    </row>
    <row r="38" spans="1:15" x14ac:dyDescent="0.25">
      <c r="A38" s="2" t="s">
        <v>22</v>
      </c>
      <c r="B38" s="2" t="s">
        <v>57</v>
      </c>
      <c r="C38" s="2" t="s">
        <v>237</v>
      </c>
      <c r="D38" s="8">
        <v>2</v>
      </c>
      <c r="E38" s="8">
        <v>3</v>
      </c>
      <c r="F38" s="8">
        <v>15</v>
      </c>
      <c r="G38" s="9">
        <v>1</v>
      </c>
      <c r="H38" s="9" t="s">
        <v>23</v>
      </c>
      <c r="I38" s="9"/>
      <c r="J38" s="9"/>
      <c r="K38" s="9">
        <v>1</v>
      </c>
      <c r="L38" s="9" t="s">
        <v>23</v>
      </c>
      <c r="M38" s="9" t="str">
        <f t="shared" si="0"/>
        <v>IgA015-1d1d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64</v>
      </c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I2:I1037 K2:K1037" xr:uid="{00000000-0002-0000-07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&amp; Instruções</vt:lpstr>
      <vt:lpstr>_DV</vt:lpstr>
      <vt:lpstr>Familia</vt:lpstr>
      <vt:lpstr>Escola</vt:lpstr>
      <vt:lpstr>Eu mesmo</vt:lpstr>
      <vt:lpstr>Amigos</vt:lpstr>
      <vt:lpstr>Comunidade</vt:lpstr>
      <vt:lpstr>Igreja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2025-09-12T11:35:00Z</dcterms:created>
  <dcterms:modified xsi:type="dcterms:W3CDTF">2025-09-12T18:59:38Z</dcterms:modified>
</cp:coreProperties>
</file>