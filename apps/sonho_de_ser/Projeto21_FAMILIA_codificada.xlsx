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sonho_de_ser\"/>
    </mc:Choice>
  </mc:AlternateContent>
  <xr:revisionPtr revIDLastSave="0" documentId="13_ncr:1_{A3DD942E-9F34-4B59-A1CB-B7AFEA7468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milia" sheetId="1" r:id="rId1"/>
    <sheet name="Regras_aplicad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2" i="1"/>
  <c r="N2" i="1"/>
</calcChain>
</file>

<file path=xl/sharedStrings.xml><?xml version="1.0" encoding="utf-8"?>
<sst xmlns="http://schemas.openxmlformats.org/spreadsheetml/2006/main" count="291" uniqueCount="106">
  <si>
    <t>Area</t>
  </si>
  <si>
    <t>Estrategia</t>
  </si>
  <si>
    <t>OrdemArea</t>
  </si>
  <si>
    <t>OrdemEstrategia</t>
  </si>
  <si>
    <t>FreqNum</t>
  </si>
  <si>
    <t>FreqUnid</t>
  </si>
  <si>
    <t>PeriodoNum</t>
  </si>
  <si>
    <t>PeriodoUnid</t>
  </si>
  <si>
    <t>FrequenciaPeriodoCodigo</t>
  </si>
  <si>
    <t>CODIGO</t>
  </si>
  <si>
    <t>AUTO_ASSUMED_RULE</t>
  </si>
  <si>
    <t>Família</t>
  </si>
  <si>
    <t>Básico</t>
  </si>
  <si>
    <t>Desafio</t>
  </si>
  <si>
    <t>Avançado</t>
  </si>
  <si>
    <t>Conversar com meus pais sobre como foi meu dia.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</si>
  <si>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</si>
  <si>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</si>
  <si>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</si>
  <si>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</si>
  <si>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</si>
  <si>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</si>
  <si>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Contar uma lembrança boa para alguém da família.</t>
  </si>
  <si>
    <t>Preparar uma refeição simples para a família.</t>
  </si>
  <si>
    <t>Fazer um planejamento de tarefas domésticas para a semana.</t>
  </si>
  <si>
    <t>Acompanhar um familiar em um compromisso importante.</t>
  </si>
  <si>
    <t>Organizar um momento devocional familiar curto.</t>
  </si>
  <si>
    <t>Resolver um pequeno conflito propondo um acordo justo.</t>
  </si>
  <si>
    <t>Escanear/organizar fotos antigas da família e compartilhar.</t>
  </si>
  <si>
    <t>Cuidar de um animal de estimação ou planta da casa.</t>
  </si>
  <si>
    <t>Aprender e ensinar uma receita tradicional da família.</t>
  </si>
  <si>
    <t>Planejar e conduzir um culto familiar semanal de 30 minutos.</t>
  </si>
  <si>
    <t>Criar e executar um projeto familiar (horta, reforma, doação).</t>
  </si>
  <si>
    <t>Promover um dia de reconciliação: pedir perdão e perdoar.</t>
  </si>
  <si>
    <t>Implantar regras de uso de telas e revisar em família.</t>
  </si>
  <si>
    <t>Facilitar uma conversa sobre vocação com um membro da família.</t>
  </si>
  <si>
    <t>Implantar check-ins semanais sobre clima familiar.</t>
  </si>
  <si>
    <t>d</t>
  </si>
  <si>
    <t>s</t>
  </si>
  <si>
    <t>FaB002-1d7d</t>
  </si>
  <si>
    <t>FaB003-1d7d</t>
  </si>
  <si>
    <t>FaB004-1d7d</t>
  </si>
  <si>
    <t>FaB005-1d7d</t>
  </si>
  <si>
    <t>FaB006-1d7d</t>
  </si>
  <si>
    <t>FaB007-1d7d</t>
  </si>
  <si>
    <t>FaB008-1d7d</t>
  </si>
  <si>
    <t>FaB009-1d7d</t>
  </si>
  <si>
    <t>FaB010-1d7d</t>
  </si>
  <si>
    <t>FaD001-2d7d</t>
  </si>
  <si>
    <t>FaD002-2d7d</t>
  </si>
  <si>
    <t>FaD003-2d7d</t>
  </si>
  <si>
    <t>FaD004-2d7d</t>
  </si>
  <si>
    <t>FaD005-2d7d</t>
  </si>
  <si>
    <t>FaD006-2d7d</t>
  </si>
  <si>
    <t>FaD007-2d7d</t>
  </si>
  <si>
    <t>FaD008-2d7d</t>
  </si>
  <si>
    <t>FaD009-2d7d</t>
  </si>
  <si>
    <t>FaD010-2d7d</t>
  </si>
  <si>
    <t>FaD011-2d7d</t>
  </si>
  <si>
    <t>FaD012-2d7d</t>
  </si>
  <si>
    <t>FaA001-1s2s</t>
  </si>
  <si>
    <t>FaA002-1s2s</t>
  </si>
  <si>
    <t>FaA003-1s2s</t>
  </si>
  <si>
    <t>FaA004-1s2s</t>
  </si>
  <si>
    <t>FaA005-1s2s</t>
  </si>
  <si>
    <t>FaA006-1s2s</t>
  </si>
  <si>
    <t>FaA007-1s2s</t>
  </si>
  <si>
    <t>FaA008-1s2s</t>
  </si>
  <si>
    <t>FaA009-1s2s</t>
  </si>
  <si>
    <t>FaA010-1s2s</t>
  </si>
  <si>
    <t>FaA011-1s2s</t>
  </si>
  <si>
    <t>FaA012-1s2s</t>
  </si>
  <si>
    <t>FaA013-1s3s</t>
  </si>
  <si>
    <t>FaA014-1s2s</t>
  </si>
  <si>
    <t>FaA015-1s2s</t>
  </si>
  <si>
    <t>fallback: 1d7d</t>
  </si>
  <si>
    <t>desafio-&gt;2d7d</t>
  </si>
  <si>
    <t>avancado-&gt;1s2s</t>
  </si>
  <si>
    <t>Regra</t>
  </si>
  <si>
    <t>Descrição</t>
  </si>
  <si>
    <t>texto: dia inteiro + N dias seguidos -&gt; 0dNd</t>
  </si>
  <si>
    <t>Dimensão 'Desafio' sem info explícita recebe 2 vezes/dia por 7 dias</t>
  </si>
  <si>
    <t>Dimensão 'Avançado' sem info explícita recebe 1 vez/semana por 2 semanas</t>
  </si>
  <si>
    <t>Se o texto tiver 'dia inteiro' e 'N dias seguidos', usar 0dNd</t>
  </si>
  <si>
    <t>Se nada for detectado, usar 1 vez/dia por 7 dias</t>
  </si>
  <si>
    <t>Agradecer algo específico que alguém da família fez por mim.</t>
  </si>
  <si>
    <t>Conversar sobre como você pode colaborar com as finanças familiares com responsabilidade.</t>
  </si>
  <si>
    <t>quant-intervalo</t>
  </si>
  <si>
    <t>unid-intervfalo</t>
  </si>
  <si>
    <t>Ajudar em uma tarefa de casa sem que me peçam. Definir a tarefa.</t>
  </si>
  <si>
    <t>Escrever uma carta/mensagem de gratidão para um membro da família.</t>
  </si>
  <si>
    <t>Medir e reduzir meu tempo de tela durante o tempo em que estiver com a família.</t>
  </si>
  <si>
    <t>Criar um calendário de aniversários e datas especiais da família.</t>
  </si>
  <si>
    <t>Montar orçamento doméstico básico e acompanhar.</t>
  </si>
  <si>
    <t>Medir e reduzir discussões recorrentes com técnicas de mediação e reflexão</t>
  </si>
  <si>
    <t>Acompanhar um irmão/parentesco em rotina de estudos.</t>
  </si>
  <si>
    <t>Desenvolver um manual de tarefas domésticas compartilhado.</t>
  </si>
  <si>
    <t>Organizar um encontro de gerações e registrar histórias, com os pais e/ou avós..</t>
  </si>
  <si>
    <t>Praticar organização do tempo: bloco de atividades familiares.</t>
  </si>
  <si>
    <t>Conduzir um plano de oração por familiares específicos, com auxílio de uma lista.</t>
  </si>
  <si>
    <t>Estabelecer uma noite de jogos sem telas em família.</t>
  </si>
  <si>
    <t>Criar um álbum digital com fotos significativas e legendas.</t>
  </si>
  <si>
    <t>Tradução da Frequência e Período</t>
  </si>
  <si>
    <t>1 dia por um período de dois dias</t>
  </si>
  <si>
    <t>Nivel</t>
  </si>
  <si>
    <t>OrdemNivel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</si>
</sst>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textRotation="90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textRotation="90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topLeftCell="A33" zoomScale="115" zoomScaleNormal="115" workbookViewId="0">
      <selection activeCell="E1" sqref="E1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63.42578125" customWidth="1"/>
    <col min="4" max="6" width="6.5703125" style="3" bestFit="1" customWidth="1"/>
    <col min="7" max="8" width="3.7109375" style="4" bestFit="1" customWidth="1"/>
    <col min="9" max="12" width="6.5703125" style="4" bestFit="1" customWidth="1"/>
    <col min="13" max="14" width="12.7109375" style="3" bestFit="1" customWidth="1"/>
    <col min="15" max="15" width="14.85546875" style="3" bestFit="1" customWidth="1"/>
    <col min="16" max="16" width="30.7109375" bestFit="1" customWidth="1"/>
  </cols>
  <sheetData>
    <row r="1" spans="1:16" s="7" customFormat="1" ht="120.75" customHeight="1" x14ac:dyDescent="0.25">
      <c r="A1" s="5" t="s">
        <v>0</v>
      </c>
      <c r="B1" s="5" t="s">
        <v>104</v>
      </c>
      <c r="C1" s="5" t="s">
        <v>1</v>
      </c>
      <c r="D1" s="5" t="s">
        <v>2</v>
      </c>
      <c r="E1" s="5" t="s">
        <v>105</v>
      </c>
      <c r="F1" s="5" t="s">
        <v>3</v>
      </c>
      <c r="G1" s="6" t="s">
        <v>4</v>
      </c>
      <c r="H1" s="6" t="s">
        <v>5</v>
      </c>
      <c r="I1" s="6" t="s">
        <v>87</v>
      </c>
      <c r="J1" s="6" t="s">
        <v>88</v>
      </c>
      <c r="K1" s="6" t="s">
        <v>6</v>
      </c>
      <c r="L1" s="6" t="s">
        <v>7</v>
      </c>
      <c r="M1" s="5" t="s">
        <v>8</v>
      </c>
      <c r="N1" s="5" t="s">
        <v>9</v>
      </c>
      <c r="O1" s="5" t="s">
        <v>10</v>
      </c>
      <c r="P1" s="2" t="s">
        <v>102</v>
      </c>
    </row>
    <row r="2" spans="1:16" x14ac:dyDescent="0.25">
      <c r="A2" t="s">
        <v>11</v>
      </c>
      <c r="B2" t="s">
        <v>12</v>
      </c>
      <c r="C2" t="s">
        <v>15</v>
      </c>
      <c r="D2" s="3">
        <v>1</v>
      </c>
      <c r="E2" s="3">
        <v>1</v>
      </c>
      <c r="F2" s="3">
        <v>1</v>
      </c>
      <c r="G2" s="4">
        <v>1</v>
      </c>
      <c r="H2" s="4" t="s">
        <v>37</v>
      </c>
      <c r="K2" s="4">
        <v>2</v>
      </c>
      <c r="L2" s="4" t="s">
        <v>37</v>
      </c>
      <c r="M2" s="3" t="str">
        <f>(G2)&amp;H2&amp;(K2)&amp;L2</f>
        <v>1d2d</v>
      </c>
      <c r="N2" s="3" t="str">
        <f>LEFT(A2,2)&amp;LEFT(B2,1)&amp;TEXT(F2,"000")&amp;"-"&amp;(G2)&amp;H2&amp;(K2)&amp;L2</f>
        <v>FaB001-1d2d</v>
      </c>
      <c r="O2" s="3" t="s">
        <v>75</v>
      </c>
      <c r="P2" t="s">
        <v>103</v>
      </c>
    </row>
    <row r="3" spans="1:16" x14ac:dyDescent="0.25">
      <c r="A3" t="s">
        <v>11</v>
      </c>
      <c r="B3" t="s">
        <v>12</v>
      </c>
      <c r="C3" t="s">
        <v>89</v>
      </c>
      <c r="D3" s="3">
        <v>1</v>
      </c>
      <c r="E3" s="3">
        <v>1</v>
      </c>
      <c r="F3" s="3">
        <v>2</v>
      </c>
      <c r="G3" s="4">
        <v>1</v>
      </c>
      <c r="H3" s="4" t="s">
        <v>37</v>
      </c>
      <c r="K3" s="4">
        <v>3</v>
      </c>
      <c r="L3" s="4" t="s">
        <v>37</v>
      </c>
      <c r="M3" s="3" t="str">
        <f t="shared" ref="M3:M38" si="0">(G3)&amp;H3&amp;(K3)&amp;L3</f>
        <v>1d3d</v>
      </c>
      <c r="N3" s="3" t="s">
        <v>39</v>
      </c>
      <c r="O3" s="3" t="s">
        <v>75</v>
      </c>
      <c r="P3" t="str">
        <f>IF(G2=0,"O dia inteiro",IF(G2=1,"Uma vez",TEXT(G2,"0")&amp;" vezes")&amp;" por "&amp;IF(LOWER(H2)="d","dia","semana"))&amp;IF(AND(ISNUMBER(I2),I2&gt;0),", a cada "&amp;TEXT(I2,"0")&amp;" "&amp;IF(I2=1,IF(LOWER(J2)="d","dia","semana"),IF(LOWER(J2)="d","dias","semanas"))&amp;",","")&amp;" por um período de "&amp;TEXT(K2,"0")&amp;" "&amp;IF(K2=1,IF(LOWER(L2)="d","dia","semana"),IF(LOWER(L2)="d","dias","semanas"))</f>
        <v>Uma vez por dia por um período de 2 dias</v>
      </c>
    </row>
    <row r="4" spans="1:16" x14ac:dyDescent="0.25">
      <c r="A4" t="s">
        <v>11</v>
      </c>
      <c r="B4" t="s">
        <v>12</v>
      </c>
      <c r="C4" t="s">
        <v>16</v>
      </c>
      <c r="D4" s="3">
        <v>1</v>
      </c>
      <c r="E4" s="3">
        <v>1</v>
      </c>
      <c r="F4" s="3">
        <v>3</v>
      </c>
      <c r="G4" s="4">
        <v>1</v>
      </c>
      <c r="H4" s="4" t="s">
        <v>37</v>
      </c>
      <c r="K4" s="4">
        <v>2</v>
      </c>
      <c r="L4" s="4" t="s">
        <v>37</v>
      </c>
      <c r="M4" s="3" t="str">
        <f t="shared" si="0"/>
        <v>1d2d</v>
      </c>
      <c r="N4" s="3" t="s">
        <v>40</v>
      </c>
      <c r="O4" s="3" t="s">
        <v>75</v>
      </c>
      <c r="P4" t="str">
        <f t="shared" ref="P4:P38" si="1">IF(G3=0,"O dia inteiro",IF(G3=1,"Uma vez",TEXT(G3,"0")&amp;" vezes")&amp;" por "&amp;IF(LOWER(H3)="d","dia","semana"))&amp;IF(AND(ISNUMBER(I3),I3&gt;0),", a cada "&amp;TEXT(I3,"0")&amp;" "&amp;IF(I3=1,IF(LOWER(J3)="d","dia","semana"),IF(LOWER(J3)="d","dias","semanas"))&amp;",","")&amp;" por um período de "&amp;TEXT(K3,"0")&amp;" "&amp;IF(K3=1,IF(LOWER(L3)="d","dia","semana"),IF(LOWER(L3)="d","dias","semanas"))</f>
        <v>Uma vez por dia por um período de 3 dias</v>
      </c>
    </row>
    <row r="5" spans="1:16" x14ac:dyDescent="0.25">
      <c r="A5" t="s">
        <v>11</v>
      </c>
      <c r="B5" t="s">
        <v>12</v>
      </c>
      <c r="C5" t="s">
        <v>17</v>
      </c>
      <c r="D5" s="3">
        <v>1</v>
      </c>
      <c r="E5" s="3">
        <v>1</v>
      </c>
      <c r="F5" s="3">
        <v>4</v>
      </c>
      <c r="G5" s="4">
        <v>2</v>
      </c>
      <c r="H5" s="4" t="s">
        <v>37</v>
      </c>
      <c r="K5" s="4">
        <v>4</v>
      </c>
      <c r="L5" s="4" t="s">
        <v>37</v>
      </c>
      <c r="M5" s="3" t="str">
        <f t="shared" si="0"/>
        <v>2d4d</v>
      </c>
      <c r="N5" s="3" t="s">
        <v>41</v>
      </c>
      <c r="O5" s="3" t="s">
        <v>75</v>
      </c>
      <c r="P5" t="str">
        <f t="shared" si="1"/>
        <v>Uma vez por dia por um período de 2 dias</v>
      </c>
    </row>
    <row r="6" spans="1:16" x14ac:dyDescent="0.25">
      <c r="A6" t="s">
        <v>11</v>
      </c>
      <c r="B6" t="s">
        <v>12</v>
      </c>
      <c r="C6" t="s">
        <v>18</v>
      </c>
      <c r="D6" s="3">
        <v>1</v>
      </c>
      <c r="E6" s="3">
        <v>1</v>
      </c>
      <c r="F6" s="3">
        <v>5</v>
      </c>
      <c r="G6" s="4">
        <v>0</v>
      </c>
      <c r="H6" s="4" t="s">
        <v>37</v>
      </c>
      <c r="K6" s="4">
        <v>7</v>
      </c>
      <c r="L6" s="4" t="s">
        <v>37</v>
      </c>
      <c r="M6" s="3" t="str">
        <f t="shared" si="0"/>
        <v>0d7d</v>
      </c>
      <c r="N6" s="3" t="s">
        <v>42</v>
      </c>
      <c r="O6" s="3" t="s">
        <v>75</v>
      </c>
      <c r="P6" t="str">
        <f t="shared" si="1"/>
        <v>2 vezes por dia por um período de 4 dias</v>
      </c>
    </row>
    <row r="7" spans="1:16" x14ac:dyDescent="0.25">
      <c r="A7" t="s">
        <v>11</v>
      </c>
      <c r="B7" t="s">
        <v>12</v>
      </c>
      <c r="C7" t="s">
        <v>19</v>
      </c>
      <c r="D7" s="3">
        <v>1</v>
      </c>
      <c r="E7" s="3">
        <v>1</v>
      </c>
      <c r="F7" s="3">
        <v>6</v>
      </c>
      <c r="G7" s="4">
        <v>1</v>
      </c>
      <c r="H7" s="4" t="s">
        <v>37</v>
      </c>
      <c r="I7" s="4">
        <v>2</v>
      </c>
      <c r="J7" s="4" t="s">
        <v>37</v>
      </c>
      <c r="K7" s="4">
        <v>7</v>
      </c>
      <c r="L7" s="4" t="s">
        <v>37</v>
      </c>
      <c r="M7" s="3" t="str">
        <f t="shared" si="0"/>
        <v>1d7d</v>
      </c>
      <c r="N7" s="3" t="s">
        <v>43</v>
      </c>
      <c r="O7" s="3" t="s">
        <v>75</v>
      </c>
      <c r="P7" t="str">
        <f t="shared" si="1"/>
        <v>O dia inteiro por um período de 7 dias</v>
      </c>
    </row>
    <row r="8" spans="1:16" x14ac:dyDescent="0.25">
      <c r="A8" t="s">
        <v>11</v>
      </c>
      <c r="B8" t="s">
        <v>12</v>
      </c>
      <c r="C8" t="s">
        <v>20</v>
      </c>
      <c r="D8" s="3">
        <v>1</v>
      </c>
      <c r="E8" s="3">
        <v>1</v>
      </c>
      <c r="F8" s="3">
        <v>7</v>
      </c>
      <c r="G8" s="4">
        <v>1</v>
      </c>
      <c r="H8" s="4" t="s">
        <v>37</v>
      </c>
      <c r="I8" s="4">
        <v>3</v>
      </c>
      <c r="J8" s="4" t="s">
        <v>37</v>
      </c>
      <c r="K8" s="4">
        <v>6</v>
      </c>
      <c r="L8" s="4" t="s">
        <v>37</v>
      </c>
      <c r="M8" s="3" t="str">
        <f t="shared" si="0"/>
        <v>1d6d</v>
      </c>
      <c r="N8" s="3" t="s">
        <v>44</v>
      </c>
      <c r="O8" s="3" t="s">
        <v>75</v>
      </c>
      <c r="P8" t="str">
        <f t="shared" si="1"/>
        <v>Uma vez por dia, a cada 2 dias, por um período de 7 dias</v>
      </c>
    </row>
    <row r="9" spans="1:16" x14ac:dyDescent="0.25">
      <c r="A9" t="s">
        <v>11</v>
      </c>
      <c r="B9" t="s">
        <v>12</v>
      </c>
      <c r="C9" t="s">
        <v>21</v>
      </c>
      <c r="D9" s="3">
        <v>1</v>
      </c>
      <c r="E9" s="3">
        <v>1</v>
      </c>
      <c r="F9" s="3">
        <v>8</v>
      </c>
      <c r="G9" s="4">
        <v>1</v>
      </c>
      <c r="H9" s="4" t="s">
        <v>37</v>
      </c>
      <c r="K9" s="4">
        <v>7</v>
      </c>
      <c r="L9" s="4" t="s">
        <v>37</v>
      </c>
      <c r="M9" s="3" t="str">
        <f t="shared" si="0"/>
        <v>1d7d</v>
      </c>
      <c r="N9" s="3" t="s">
        <v>45</v>
      </c>
      <c r="O9" s="3" t="s">
        <v>75</v>
      </c>
      <c r="P9" t="str">
        <f t="shared" si="1"/>
        <v>Uma vez por dia, a cada 3 dias, por um período de 6 dias</v>
      </c>
    </row>
    <row r="10" spans="1:16" x14ac:dyDescent="0.25">
      <c r="A10" t="s">
        <v>11</v>
      </c>
      <c r="B10" t="s">
        <v>12</v>
      </c>
      <c r="C10" t="s">
        <v>85</v>
      </c>
      <c r="D10" s="3">
        <v>1</v>
      </c>
      <c r="E10" s="3">
        <v>1</v>
      </c>
      <c r="F10" s="3">
        <v>9</v>
      </c>
      <c r="G10" s="4">
        <v>1</v>
      </c>
      <c r="H10" s="4" t="s">
        <v>37</v>
      </c>
      <c r="I10" s="4">
        <v>2</v>
      </c>
      <c r="J10" s="4" t="s">
        <v>37</v>
      </c>
      <c r="K10" s="4">
        <v>6</v>
      </c>
      <c r="L10" s="4" t="s">
        <v>37</v>
      </c>
      <c r="M10" s="3" t="str">
        <f t="shared" si="0"/>
        <v>1d6d</v>
      </c>
      <c r="N10" s="3" t="s">
        <v>46</v>
      </c>
      <c r="O10" s="3" t="s">
        <v>75</v>
      </c>
      <c r="P10" t="str">
        <f t="shared" si="1"/>
        <v>Uma vez por dia por um período de 7 dias</v>
      </c>
    </row>
    <row r="11" spans="1:16" x14ac:dyDescent="0.25">
      <c r="A11" t="s">
        <v>11</v>
      </c>
      <c r="B11" t="s">
        <v>12</v>
      </c>
      <c r="C11" t="s">
        <v>22</v>
      </c>
      <c r="D11" s="3">
        <v>1</v>
      </c>
      <c r="E11" s="3">
        <v>1</v>
      </c>
      <c r="F11" s="3">
        <v>10</v>
      </c>
      <c r="G11" s="4">
        <v>1</v>
      </c>
      <c r="H11" s="4" t="s">
        <v>37</v>
      </c>
      <c r="I11" s="4">
        <v>3</v>
      </c>
      <c r="J11" s="4" t="s">
        <v>37</v>
      </c>
      <c r="K11" s="4">
        <v>6</v>
      </c>
      <c r="L11" s="4" t="s">
        <v>37</v>
      </c>
      <c r="M11" s="3" t="str">
        <f t="shared" si="0"/>
        <v>1d6d</v>
      </c>
      <c r="N11" s="3" t="s">
        <v>47</v>
      </c>
      <c r="O11" s="3" t="s">
        <v>75</v>
      </c>
      <c r="P11" t="str">
        <f t="shared" si="1"/>
        <v>Uma vez por dia, a cada 2 dias, por um período de 6 dias</v>
      </c>
    </row>
    <row r="12" spans="1:16" x14ac:dyDescent="0.25">
      <c r="A12" t="s">
        <v>11</v>
      </c>
      <c r="B12" t="s">
        <v>13</v>
      </c>
      <c r="C12" t="s">
        <v>23</v>
      </c>
      <c r="D12" s="3">
        <v>1</v>
      </c>
      <c r="E12" s="3">
        <v>2</v>
      </c>
      <c r="F12" s="3">
        <v>1</v>
      </c>
      <c r="G12" s="4">
        <v>1</v>
      </c>
      <c r="H12" s="4" t="s">
        <v>37</v>
      </c>
      <c r="K12" s="4">
        <v>1</v>
      </c>
      <c r="L12" s="4" t="s">
        <v>37</v>
      </c>
      <c r="M12" s="3" t="str">
        <f t="shared" si="0"/>
        <v>1d1d</v>
      </c>
      <c r="N12" s="3" t="s">
        <v>48</v>
      </c>
      <c r="O12" s="3" t="s">
        <v>76</v>
      </c>
      <c r="P12" t="str">
        <f t="shared" si="1"/>
        <v>Uma vez por dia, a cada 3 dias, por um período de 6 dias</v>
      </c>
    </row>
    <row r="13" spans="1:16" x14ac:dyDescent="0.25">
      <c r="A13" t="s">
        <v>11</v>
      </c>
      <c r="B13" t="s">
        <v>13</v>
      </c>
      <c r="C13" t="s">
        <v>24</v>
      </c>
      <c r="D13" s="3">
        <v>1</v>
      </c>
      <c r="E13" s="3">
        <v>2</v>
      </c>
      <c r="F13" s="3">
        <v>2</v>
      </c>
      <c r="G13" s="4">
        <v>1</v>
      </c>
      <c r="H13" s="4" t="s">
        <v>38</v>
      </c>
      <c r="K13" s="4">
        <v>2</v>
      </c>
      <c r="L13" s="4" t="s">
        <v>38</v>
      </c>
      <c r="M13" s="3" t="str">
        <f t="shared" si="0"/>
        <v>1s2s</v>
      </c>
      <c r="N13" s="3" t="s">
        <v>49</v>
      </c>
      <c r="O13" s="3" t="s">
        <v>76</v>
      </c>
      <c r="P13" t="str">
        <f t="shared" si="1"/>
        <v>Uma vez por dia por um período de 1 dia</v>
      </c>
    </row>
    <row r="14" spans="1:16" x14ac:dyDescent="0.25">
      <c r="A14" t="s">
        <v>11</v>
      </c>
      <c r="B14" t="s">
        <v>13</v>
      </c>
      <c r="C14" t="s">
        <v>86</v>
      </c>
      <c r="D14" s="3">
        <v>1</v>
      </c>
      <c r="E14" s="3">
        <v>2</v>
      </c>
      <c r="F14" s="3">
        <v>3</v>
      </c>
      <c r="G14" s="4">
        <v>1</v>
      </c>
      <c r="H14" s="4" t="s">
        <v>38</v>
      </c>
      <c r="K14" s="4">
        <v>1</v>
      </c>
      <c r="L14" s="4" t="s">
        <v>38</v>
      </c>
      <c r="M14" s="3" t="str">
        <f t="shared" si="0"/>
        <v>1s1s</v>
      </c>
      <c r="N14" s="3" t="s">
        <v>50</v>
      </c>
      <c r="O14" s="3" t="s">
        <v>76</v>
      </c>
      <c r="P14" t="str">
        <f t="shared" si="1"/>
        <v>Uma vez por semana por um período de 2 semanas</v>
      </c>
    </row>
    <row r="15" spans="1:16" x14ac:dyDescent="0.25">
      <c r="A15" t="s">
        <v>11</v>
      </c>
      <c r="B15" t="s">
        <v>13</v>
      </c>
      <c r="C15" t="s">
        <v>25</v>
      </c>
      <c r="D15" s="3">
        <v>1</v>
      </c>
      <c r="E15" s="3">
        <v>2</v>
      </c>
      <c r="F15" s="3">
        <v>4</v>
      </c>
      <c r="G15" s="4">
        <v>1</v>
      </c>
      <c r="H15" s="4" t="s">
        <v>37</v>
      </c>
      <c r="K15" s="4">
        <v>2</v>
      </c>
      <c r="L15" s="4" t="s">
        <v>37</v>
      </c>
      <c r="M15" s="3" t="str">
        <f t="shared" si="0"/>
        <v>1d2d</v>
      </c>
      <c r="N15" s="3" t="s">
        <v>51</v>
      </c>
      <c r="O15" s="3" t="s">
        <v>76</v>
      </c>
      <c r="P15" t="str">
        <f t="shared" si="1"/>
        <v>Uma vez por semana por um período de 1 semana</v>
      </c>
    </row>
    <row r="16" spans="1:16" x14ac:dyDescent="0.25">
      <c r="A16" t="s">
        <v>11</v>
      </c>
      <c r="B16" t="s">
        <v>13</v>
      </c>
      <c r="C16" t="s">
        <v>90</v>
      </c>
      <c r="D16" s="3">
        <v>1</v>
      </c>
      <c r="E16" s="3">
        <v>2</v>
      </c>
      <c r="F16" s="3">
        <v>5</v>
      </c>
      <c r="G16" s="4">
        <v>1</v>
      </c>
      <c r="H16" s="4" t="s">
        <v>37</v>
      </c>
      <c r="K16" s="4">
        <v>1</v>
      </c>
      <c r="L16" s="4" t="s">
        <v>38</v>
      </c>
      <c r="M16" s="3" t="str">
        <f t="shared" si="0"/>
        <v>1d1s</v>
      </c>
      <c r="N16" s="3" t="s">
        <v>52</v>
      </c>
      <c r="O16" s="3" t="s">
        <v>76</v>
      </c>
      <c r="P16" t="str">
        <f t="shared" si="1"/>
        <v>Uma vez por dia por um período de 2 dias</v>
      </c>
    </row>
    <row r="17" spans="1:16" x14ac:dyDescent="0.25">
      <c r="A17" t="s">
        <v>11</v>
      </c>
      <c r="B17" t="s">
        <v>13</v>
      </c>
      <c r="C17" t="s">
        <v>91</v>
      </c>
      <c r="D17" s="3">
        <v>1</v>
      </c>
      <c r="E17" s="3">
        <v>2</v>
      </c>
      <c r="F17" s="3">
        <v>6</v>
      </c>
      <c r="G17" s="4">
        <v>1</v>
      </c>
      <c r="H17" s="4" t="s">
        <v>37</v>
      </c>
      <c r="K17" s="4">
        <v>7</v>
      </c>
      <c r="L17" s="4" t="s">
        <v>37</v>
      </c>
      <c r="M17" s="3" t="str">
        <f t="shared" si="0"/>
        <v>1d7d</v>
      </c>
      <c r="N17" s="3" t="s">
        <v>53</v>
      </c>
      <c r="O17" s="3" t="s">
        <v>76</v>
      </c>
      <c r="P17" t="str">
        <f t="shared" si="1"/>
        <v>Uma vez por dia por um período de 1 semana</v>
      </c>
    </row>
    <row r="18" spans="1:16" x14ac:dyDescent="0.25">
      <c r="A18" t="s">
        <v>11</v>
      </c>
      <c r="B18" t="s">
        <v>13</v>
      </c>
      <c r="C18" t="s">
        <v>26</v>
      </c>
      <c r="D18" s="3">
        <v>1</v>
      </c>
      <c r="E18" s="3">
        <v>2</v>
      </c>
      <c r="F18" s="3">
        <v>7</v>
      </c>
      <c r="G18" s="4">
        <v>1</v>
      </c>
      <c r="H18" s="4" t="s">
        <v>37</v>
      </c>
      <c r="I18" s="4">
        <v>3</v>
      </c>
      <c r="J18" s="4" t="s">
        <v>37</v>
      </c>
      <c r="K18" s="4">
        <v>2</v>
      </c>
      <c r="L18" s="4" t="s">
        <v>38</v>
      </c>
      <c r="M18" s="3" t="str">
        <f t="shared" si="0"/>
        <v>1d2s</v>
      </c>
      <c r="N18" s="3" t="s">
        <v>54</v>
      </c>
      <c r="O18" s="3" t="s">
        <v>76</v>
      </c>
      <c r="P18" t="str">
        <f t="shared" si="1"/>
        <v>Uma vez por dia por um período de 7 dias</v>
      </c>
    </row>
    <row r="19" spans="1:16" x14ac:dyDescent="0.25">
      <c r="A19" t="s">
        <v>11</v>
      </c>
      <c r="B19" t="s">
        <v>13</v>
      </c>
      <c r="C19" t="s">
        <v>27</v>
      </c>
      <c r="D19" s="3">
        <v>1</v>
      </c>
      <c r="E19" s="3">
        <v>2</v>
      </c>
      <c r="F19" s="3">
        <v>8</v>
      </c>
      <c r="G19" s="4">
        <v>1</v>
      </c>
      <c r="H19" s="4" t="s">
        <v>37</v>
      </c>
      <c r="K19" s="4">
        <v>1</v>
      </c>
      <c r="L19" s="4" t="s">
        <v>37</v>
      </c>
      <c r="M19" s="3" t="str">
        <f t="shared" si="0"/>
        <v>1d1d</v>
      </c>
      <c r="N19" s="3" t="s">
        <v>55</v>
      </c>
      <c r="O19" s="3" t="s">
        <v>76</v>
      </c>
      <c r="P19" t="str">
        <f t="shared" si="1"/>
        <v>Uma vez por dia, a cada 3 dias, por um período de 2 semanas</v>
      </c>
    </row>
    <row r="20" spans="1:16" x14ac:dyDescent="0.25">
      <c r="A20" t="s">
        <v>11</v>
      </c>
      <c r="B20" t="s">
        <v>13</v>
      </c>
      <c r="C20" t="s">
        <v>28</v>
      </c>
      <c r="D20" s="3">
        <v>1</v>
      </c>
      <c r="E20" s="3">
        <v>2</v>
      </c>
      <c r="F20" s="3">
        <v>9</v>
      </c>
      <c r="G20" s="4">
        <v>1</v>
      </c>
      <c r="H20" s="4" t="s">
        <v>37</v>
      </c>
      <c r="K20" s="4">
        <v>7</v>
      </c>
      <c r="L20" s="4" t="s">
        <v>37</v>
      </c>
      <c r="M20" s="3" t="str">
        <f t="shared" si="0"/>
        <v>1d7d</v>
      </c>
      <c r="N20" s="3" t="s">
        <v>56</v>
      </c>
      <c r="O20" s="3" t="s">
        <v>76</v>
      </c>
      <c r="P20" t="str">
        <f t="shared" si="1"/>
        <v>Uma vez por dia por um período de 1 dia</v>
      </c>
    </row>
    <row r="21" spans="1:16" x14ac:dyDescent="0.25">
      <c r="A21" t="s">
        <v>11</v>
      </c>
      <c r="B21" t="s">
        <v>13</v>
      </c>
      <c r="C21" t="s">
        <v>92</v>
      </c>
      <c r="D21" s="3">
        <v>1</v>
      </c>
      <c r="E21" s="3">
        <v>2</v>
      </c>
      <c r="F21" s="3">
        <v>10</v>
      </c>
      <c r="G21" s="4">
        <v>1</v>
      </c>
      <c r="H21" s="4" t="s">
        <v>37</v>
      </c>
      <c r="K21" s="4">
        <v>1</v>
      </c>
      <c r="L21" s="4" t="s">
        <v>37</v>
      </c>
      <c r="M21" s="3" t="str">
        <f t="shared" si="0"/>
        <v>1d1d</v>
      </c>
      <c r="N21" s="3" t="s">
        <v>57</v>
      </c>
      <c r="O21" s="3" t="s">
        <v>76</v>
      </c>
      <c r="P21" t="str">
        <f t="shared" si="1"/>
        <v>Uma vez por dia por um período de 7 dias</v>
      </c>
    </row>
    <row r="22" spans="1:16" x14ac:dyDescent="0.25">
      <c r="A22" t="s">
        <v>11</v>
      </c>
      <c r="B22" t="s">
        <v>13</v>
      </c>
      <c r="C22" t="s">
        <v>29</v>
      </c>
      <c r="D22" s="3">
        <v>1</v>
      </c>
      <c r="E22" s="3">
        <v>2</v>
      </c>
      <c r="F22" s="3">
        <v>11</v>
      </c>
      <c r="G22" s="4">
        <v>1</v>
      </c>
      <c r="H22" s="4" t="s">
        <v>37</v>
      </c>
      <c r="I22" s="4">
        <v>1</v>
      </c>
      <c r="J22" s="4" t="s">
        <v>37</v>
      </c>
      <c r="K22" s="4">
        <v>7</v>
      </c>
      <c r="L22" s="4" t="s">
        <v>37</v>
      </c>
      <c r="M22" s="3" t="str">
        <f t="shared" si="0"/>
        <v>1d7d</v>
      </c>
      <c r="N22" s="3" t="s">
        <v>58</v>
      </c>
      <c r="O22" s="3" t="s">
        <v>76</v>
      </c>
      <c r="P22" t="str">
        <f t="shared" si="1"/>
        <v>Uma vez por dia por um período de 1 dia</v>
      </c>
    </row>
    <row r="23" spans="1:16" x14ac:dyDescent="0.25">
      <c r="A23" t="s">
        <v>11</v>
      </c>
      <c r="B23" t="s">
        <v>13</v>
      </c>
      <c r="C23" t="s">
        <v>30</v>
      </c>
      <c r="D23" s="3">
        <v>1</v>
      </c>
      <c r="E23" s="3">
        <v>2</v>
      </c>
      <c r="F23" s="3">
        <v>12</v>
      </c>
      <c r="G23" s="4">
        <v>1</v>
      </c>
      <c r="H23" s="4" t="s">
        <v>37</v>
      </c>
      <c r="K23" s="4">
        <v>7</v>
      </c>
      <c r="L23" s="4" t="s">
        <v>37</v>
      </c>
      <c r="M23" s="3" t="str">
        <f t="shared" si="0"/>
        <v>1d7d</v>
      </c>
      <c r="N23" s="3" t="s">
        <v>59</v>
      </c>
      <c r="O23" s="3" t="s">
        <v>76</v>
      </c>
      <c r="P23" t="str">
        <f t="shared" si="1"/>
        <v>Uma vez por dia, a cada 1 dia, por um período de 7 dias</v>
      </c>
    </row>
    <row r="24" spans="1:16" x14ac:dyDescent="0.25">
      <c r="A24" t="s">
        <v>11</v>
      </c>
      <c r="B24" t="s">
        <v>14</v>
      </c>
      <c r="C24" t="s">
        <v>31</v>
      </c>
      <c r="D24" s="3">
        <v>1</v>
      </c>
      <c r="E24" s="3">
        <v>3</v>
      </c>
      <c r="F24" s="3">
        <v>1</v>
      </c>
      <c r="G24" s="4">
        <v>1</v>
      </c>
      <c r="H24" s="4" t="s">
        <v>38</v>
      </c>
      <c r="K24" s="4">
        <v>2</v>
      </c>
      <c r="L24" s="4" t="s">
        <v>38</v>
      </c>
      <c r="M24" s="3" t="str">
        <f t="shared" si="0"/>
        <v>1s2s</v>
      </c>
      <c r="N24" s="3" t="s">
        <v>60</v>
      </c>
      <c r="O24" s="3" t="s">
        <v>77</v>
      </c>
      <c r="P24" t="str">
        <f t="shared" si="1"/>
        <v>Uma vez por dia por um período de 7 dias</v>
      </c>
    </row>
    <row r="25" spans="1:16" x14ac:dyDescent="0.25">
      <c r="A25" t="s">
        <v>11</v>
      </c>
      <c r="B25" t="s">
        <v>14</v>
      </c>
      <c r="C25" t="s">
        <v>93</v>
      </c>
      <c r="D25" s="3">
        <v>1</v>
      </c>
      <c r="E25" s="3">
        <v>3</v>
      </c>
      <c r="F25" s="3">
        <v>2</v>
      </c>
      <c r="G25" s="4">
        <v>1</v>
      </c>
      <c r="H25" s="4" t="s">
        <v>38</v>
      </c>
      <c r="K25" s="4">
        <v>4</v>
      </c>
      <c r="L25" s="4" t="s">
        <v>38</v>
      </c>
      <c r="M25" s="3" t="str">
        <f t="shared" si="0"/>
        <v>1s4s</v>
      </c>
      <c r="N25" s="3" t="s">
        <v>61</v>
      </c>
      <c r="O25" s="3" t="s">
        <v>77</v>
      </c>
      <c r="P25" t="str">
        <f t="shared" si="1"/>
        <v>Uma vez por semana por um período de 2 semanas</v>
      </c>
    </row>
    <row r="26" spans="1:16" x14ac:dyDescent="0.25">
      <c r="A26" t="s">
        <v>11</v>
      </c>
      <c r="B26" t="s">
        <v>14</v>
      </c>
      <c r="C26" t="s">
        <v>94</v>
      </c>
      <c r="D26" s="3">
        <v>1</v>
      </c>
      <c r="E26" s="3">
        <v>3</v>
      </c>
      <c r="F26" s="3">
        <v>3</v>
      </c>
      <c r="G26" s="4">
        <v>1</v>
      </c>
      <c r="H26" s="4" t="s">
        <v>38</v>
      </c>
      <c r="K26" s="4">
        <v>2</v>
      </c>
      <c r="L26" s="4" t="s">
        <v>38</v>
      </c>
      <c r="M26" s="3" t="str">
        <f t="shared" si="0"/>
        <v>1s2s</v>
      </c>
      <c r="N26" s="3" t="s">
        <v>62</v>
      </c>
      <c r="O26" s="3" t="s">
        <v>77</v>
      </c>
      <c r="P26" t="str">
        <f t="shared" si="1"/>
        <v>Uma vez por semana por um período de 4 semanas</v>
      </c>
    </row>
    <row r="27" spans="1:16" x14ac:dyDescent="0.25">
      <c r="A27" t="s">
        <v>11</v>
      </c>
      <c r="B27" t="s">
        <v>14</v>
      </c>
      <c r="C27" t="s">
        <v>32</v>
      </c>
      <c r="D27" s="3">
        <v>1</v>
      </c>
      <c r="E27" s="3">
        <v>3</v>
      </c>
      <c r="F27" s="3">
        <v>4</v>
      </c>
      <c r="G27" s="4">
        <v>1</v>
      </c>
      <c r="H27" s="4" t="s">
        <v>38</v>
      </c>
      <c r="K27" s="4">
        <v>4</v>
      </c>
      <c r="L27" s="4" t="s">
        <v>38</v>
      </c>
      <c r="M27" s="3" t="str">
        <f t="shared" si="0"/>
        <v>1s4s</v>
      </c>
      <c r="N27" s="3" t="s">
        <v>63</v>
      </c>
      <c r="O27" s="3" t="s">
        <v>77</v>
      </c>
      <c r="P27" t="str">
        <f t="shared" si="1"/>
        <v>Uma vez por semana por um período de 2 semanas</v>
      </c>
    </row>
    <row r="28" spans="1:16" x14ac:dyDescent="0.25">
      <c r="A28" t="s">
        <v>11</v>
      </c>
      <c r="B28" t="s">
        <v>14</v>
      </c>
      <c r="C28" t="s">
        <v>95</v>
      </c>
      <c r="D28" s="3">
        <v>1</v>
      </c>
      <c r="E28" s="3">
        <v>3</v>
      </c>
      <c r="F28" s="3">
        <v>5</v>
      </c>
      <c r="G28" s="4">
        <v>1</v>
      </c>
      <c r="H28" s="4" t="s">
        <v>38</v>
      </c>
      <c r="K28" s="4">
        <v>3</v>
      </c>
      <c r="L28" s="4" t="s">
        <v>38</v>
      </c>
      <c r="M28" s="3" t="str">
        <f t="shared" si="0"/>
        <v>1s3s</v>
      </c>
      <c r="N28" s="3" t="s">
        <v>64</v>
      </c>
      <c r="O28" s="3" t="s">
        <v>77</v>
      </c>
      <c r="P28" t="str">
        <f t="shared" si="1"/>
        <v>Uma vez por semana por um período de 4 semanas</v>
      </c>
    </row>
    <row r="29" spans="1:16" x14ac:dyDescent="0.25">
      <c r="A29" t="s">
        <v>11</v>
      </c>
      <c r="B29" t="s">
        <v>14</v>
      </c>
      <c r="C29" t="s">
        <v>96</v>
      </c>
      <c r="D29" s="3">
        <v>1</v>
      </c>
      <c r="E29" s="3">
        <v>3</v>
      </c>
      <c r="F29" s="3">
        <v>6</v>
      </c>
      <c r="G29" s="4">
        <v>1</v>
      </c>
      <c r="H29" s="4" t="s">
        <v>38</v>
      </c>
      <c r="K29" s="4">
        <v>3</v>
      </c>
      <c r="L29" s="4" t="s">
        <v>38</v>
      </c>
      <c r="M29" s="3" t="str">
        <f t="shared" si="0"/>
        <v>1s3s</v>
      </c>
      <c r="N29" s="3" t="s">
        <v>65</v>
      </c>
      <c r="O29" s="3" t="s">
        <v>77</v>
      </c>
      <c r="P29" t="str">
        <f t="shared" si="1"/>
        <v>Uma vez por semana por um período de 3 semanas</v>
      </c>
    </row>
    <row r="30" spans="1:16" x14ac:dyDescent="0.25">
      <c r="A30" t="s">
        <v>11</v>
      </c>
      <c r="B30" t="s">
        <v>14</v>
      </c>
      <c r="C30" t="s">
        <v>33</v>
      </c>
      <c r="D30" s="3">
        <v>1</v>
      </c>
      <c r="E30" s="3">
        <v>3</v>
      </c>
      <c r="F30" s="3">
        <v>7</v>
      </c>
      <c r="G30" s="4">
        <v>1</v>
      </c>
      <c r="H30" s="4" t="s">
        <v>38</v>
      </c>
      <c r="K30" s="4">
        <v>1</v>
      </c>
      <c r="L30" s="4" t="s">
        <v>38</v>
      </c>
      <c r="M30" s="3" t="str">
        <f t="shared" si="0"/>
        <v>1s1s</v>
      </c>
      <c r="N30" s="3" t="s">
        <v>66</v>
      </c>
      <c r="O30" s="3" t="s">
        <v>77</v>
      </c>
      <c r="P30" t="str">
        <f t="shared" si="1"/>
        <v>Uma vez por semana por um período de 3 semanas</v>
      </c>
    </row>
    <row r="31" spans="1:16" x14ac:dyDescent="0.25">
      <c r="A31" t="s">
        <v>11</v>
      </c>
      <c r="B31" t="s">
        <v>14</v>
      </c>
      <c r="C31" t="s">
        <v>97</v>
      </c>
      <c r="D31" s="3">
        <v>1</v>
      </c>
      <c r="E31" s="3">
        <v>3</v>
      </c>
      <c r="F31" s="3">
        <v>8</v>
      </c>
      <c r="G31" s="4">
        <v>1</v>
      </c>
      <c r="H31" s="4" t="s">
        <v>38</v>
      </c>
      <c r="K31" s="4">
        <v>2</v>
      </c>
      <c r="L31" s="4" t="s">
        <v>38</v>
      </c>
      <c r="M31" s="3" t="str">
        <f t="shared" si="0"/>
        <v>1s2s</v>
      </c>
      <c r="N31" s="3" t="s">
        <v>67</v>
      </c>
      <c r="O31" s="3" t="s">
        <v>77</v>
      </c>
      <c r="P31" t="str">
        <f t="shared" si="1"/>
        <v>Uma vez por semana por um período de 1 semana</v>
      </c>
    </row>
    <row r="32" spans="1:16" x14ac:dyDescent="0.25">
      <c r="A32" t="s">
        <v>11</v>
      </c>
      <c r="B32" t="s">
        <v>14</v>
      </c>
      <c r="C32" t="s">
        <v>34</v>
      </c>
      <c r="D32" s="3">
        <v>1</v>
      </c>
      <c r="E32" s="3">
        <v>3</v>
      </c>
      <c r="F32" s="3">
        <v>9</v>
      </c>
      <c r="G32" s="4">
        <v>1</v>
      </c>
      <c r="H32" s="4" t="s">
        <v>38</v>
      </c>
      <c r="K32" s="4">
        <v>4</v>
      </c>
      <c r="L32" s="4" t="s">
        <v>38</v>
      </c>
      <c r="M32" s="3" t="str">
        <f t="shared" si="0"/>
        <v>1s4s</v>
      </c>
      <c r="N32" s="3" t="s">
        <v>68</v>
      </c>
      <c r="O32" s="3" t="s">
        <v>77</v>
      </c>
      <c r="P32" t="str">
        <f t="shared" si="1"/>
        <v>Uma vez por semana por um período de 2 semanas</v>
      </c>
    </row>
    <row r="33" spans="1:16" x14ac:dyDescent="0.25">
      <c r="A33" t="s">
        <v>11</v>
      </c>
      <c r="B33" t="s">
        <v>14</v>
      </c>
      <c r="C33" t="s">
        <v>98</v>
      </c>
      <c r="D33" s="3">
        <v>1</v>
      </c>
      <c r="E33" s="3">
        <v>3</v>
      </c>
      <c r="F33" s="3">
        <v>10</v>
      </c>
      <c r="G33" s="4">
        <v>1</v>
      </c>
      <c r="H33" s="4" t="s">
        <v>38</v>
      </c>
      <c r="K33" s="4">
        <v>4</v>
      </c>
      <c r="L33" s="4" t="s">
        <v>38</v>
      </c>
      <c r="M33" s="3" t="str">
        <f t="shared" si="0"/>
        <v>1s4s</v>
      </c>
      <c r="N33" s="3" t="s">
        <v>69</v>
      </c>
      <c r="O33" s="3" t="s">
        <v>77</v>
      </c>
      <c r="P33" t="str">
        <f t="shared" si="1"/>
        <v>Uma vez por semana por um período de 4 semanas</v>
      </c>
    </row>
    <row r="34" spans="1:16" x14ac:dyDescent="0.25">
      <c r="A34" t="s">
        <v>11</v>
      </c>
      <c r="B34" t="s">
        <v>14</v>
      </c>
      <c r="C34" t="s">
        <v>99</v>
      </c>
      <c r="D34" s="3">
        <v>1</v>
      </c>
      <c r="E34" s="3">
        <v>3</v>
      </c>
      <c r="F34" s="3">
        <v>11</v>
      </c>
      <c r="G34" s="4">
        <v>3</v>
      </c>
      <c r="H34" s="4" t="s">
        <v>38</v>
      </c>
      <c r="K34" s="4">
        <v>3</v>
      </c>
      <c r="L34" s="4" t="s">
        <v>38</v>
      </c>
      <c r="M34" s="3" t="str">
        <f t="shared" si="0"/>
        <v>3s3s</v>
      </c>
      <c r="N34" s="3" t="s">
        <v>70</v>
      </c>
      <c r="O34" s="3" t="s">
        <v>77</v>
      </c>
      <c r="P34" t="str">
        <f t="shared" si="1"/>
        <v>Uma vez por semana por um período de 4 semanas</v>
      </c>
    </row>
    <row r="35" spans="1:16" x14ac:dyDescent="0.25">
      <c r="A35" t="s">
        <v>11</v>
      </c>
      <c r="B35" t="s">
        <v>14</v>
      </c>
      <c r="C35" t="s">
        <v>35</v>
      </c>
      <c r="D35" s="3">
        <v>1</v>
      </c>
      <c r="E35" s="3">
        <v>3</v>
      </c>
      <c r="F35" s="3">
        <v>12</v>
      </c>
      <c r="G35" s="4">
        <v>1</v>
      </c>
      <c r="H35" s="4" t="s">
        <v>38</v>
      </c>
      <c r="K35" s="4">
        <v>2</v>
      </c>
      <c r="L35" s="4" t="s">
        <v>38</v>
      </c>
      <c r="M35" s="3" t="str">
        <f t="shared" si="0"/>
        <v>1s2s</v>
      </c>
      <c r="N35" s="3" t="s">
        <v>71</v>
      </c>
      <c r="O35" s="3" t="s">
        <v>77</v>
      </c>
      <c r="P35" t="str">
        <f t="shared" si="1"/>
        <v>3 vezes por semana por um período de 3 semanas</v>
      </c>
    </row>
    <row r="36" spans="1:16" x14ac:dyDescent="0.25">
      <c r="A36" t="s">
        <v>11</v>
      </c>
      <c r="B36" t="s">
        <v>14</v>
      </c>
      <c r="C36" t="s">
        <v>100</v>
      </c>
      <c r="D36" s="3">
        <v>1</v>
      </c>
      <c r="E36" s="3">
        <v>3</v>
      </c>
      <c r="F36" s="3">
        <v>13</v>
      </c>
      <c r="G36" s="4">
        <v>1</v>
      </c>
      <c r="H36" s="4" t="s">
        <v>38</v>
      </c>
      <c r="K36" s="4">
        <v>3</v>
      </c>
      <c r="L36" s="4" t="s">
        <v>38</v>
      </c>
      <c r="M36" s="3" t="str">
        <f t="shared" si="0"/>
        <v>1s3s</v>
      </c>
      <c r="N36" s="3" t="s">
        <v>72</v>
      </c>
      <c r="O36" s="3" t="s">
        <v>77</v>
      </c>
      <c r="P36" t="str">
        <f t="shared" si="1"/>
        <v>Uma vez por semana por um período de 2 semanas</v>
      </c>
    </row>
    <row r="37" spans="1:16" x14ac:dyDescent="0.25">
      <c r="A37" t="s">
        <v>11</v>
      </c>
      <c r="B37" t="s">
        <v>14</v>
      </c>
      <c r="C37" t="s">
        <v>101</v>
      </c>
      <c r="D37" s="3">
        <v>1</v>
      </c>
      <c r="E37" s="3">
        <v>3</v>
      </c>
      <c r="F37" s="3">
        <v>14</v>
      </c>
      <c r="G37" s="4">
        <v>1</v>
      </c>
      <c r="H37" s="4" t="s">
        <v>38</v>
      </c>
      <c r="K37" s="4">
        <v>1</v>
      </c>
      <c r="L37" s="4" t="s">
        <v>38</v>
      </c>
      <c r="M37" s="3" t="str">
        <f t="shared" si="0"/>
        <v>1s1s</v>
      </c>
      <c r="N37" s="3" t="s">
        <v>73</v>
      </c>
      <c r="O37" s="3" t="s">
        <v>77</v>
      </c>
      <c r="P37" t="str">
        <f t="shared" si="1"/>
        <v>Uma vez por semana por um período de 3 semanas</v>
      </c>
    </row>
    <row r="38" spans="1:16" x14ac:dyDescent="0.25">
      <c r="A38" t="s">
        <v>11</v>
      </c>
      <c r="B38" t="s">
        <v>14</v>
      </c>
      <c r="C38" t="s">
        <v>36</v>
      </c>
      <c r="D38" s="3">
        <v>1</v>
      </c>
      <c r="E38" s="3">
        <v>3</v>
      </c>
      <c r="F38" s="3">
        <v>15</v>
      </c>
      <c r="G38" s="4">
        <v>1</v>
      </c>
      <c r="H38" s="4" t="s">
        <v>38</v>
      </c>
      <c r="K38" s="4">
        <v>4</v>
      </c>
      <c r="L38" s="4" t="s">
        <v>38</v>
      </c>
      <c r="M38" s="3" t="str">
        <f t="shared" si="0"/>
        <v>1s4s</v>
      </c>
      <c r="N38" s="3" t="s">
        <v>74</v>
      </c>
      <c r="O38" s="3" t="s">
        <v>77</v>
      </c>
      <c r="P38" t="str">
        <f t="shared" si="1"/>
        <v>Uma vez por semana por um período de 1 semana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9" sqref="A9"/>
    </sheetView>
  </sheetViews>
  <sheetFormatPr defaultRowHeight="15" x14ac:dyDescent="0.25"/>
  <cols>
    <col min="1" max="1" width="39.7109375" bestFit="1" customWidth="1"/>
    <col min="2" max="2" width="69.85546875" bestFit="1" customWidth="1"/>
  </cols>
  <sheetData>
    <row r="1" spans="1:2" x14ac:dyDescent="0.25">
      <c r="A1" s="1" t="s">
        <v>78</v>
      </c>
      <c r="B1" s="1" t="s">
        <v>79</v>
      </c>
    </row>
    <row r="2" spans="1:2" x14ac:dyDescent="0.25">
      <c r="A2" t="s">
        <v>76</v>
      </c>
      <c r="B2" t="s">
        <v>81</v>
      </c>
    </row>
    <row r="3" spans="1:2" x14ac:dyDescent="0.25">
      <c r="A3" t="s">
        <v>77</v>
      </c>
      <c r="B3" t="s">
        <v>82</v>
      </c>
    </row>
    <row r="4" spans="1:2" x14ac:dyDescent="0.25">
      <c r="A4" t="s">
        <v>80</v>
      </c>
      <c r="B4" t="s">
        <v>83</v>
      </c>
    </row>
    <row r="5" spans="1:2" x14ac:dyDescent="0.25">
      <c r="A5" t="s">
        <v>75</v>
      </c>
      <c r="B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Familia</vt:lpstr>
      <vt:lpstr>Regras_aplicadas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</dc:creator>
  <cp:lastModifiedBy>Wanderley Gazeta</cp:lastModifiedBy>
  <dcterms:created xsi:type="dcterms:W3CDTF">2025-09-11T23:23:41Z</dcterms:created>
  <dcterms:modified xsi:type="dcterms:W3CDTF">2025-10-09T18:45:57Z</dcterms:modified>
</cp:coreProperties>
</file>