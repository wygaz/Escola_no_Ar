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Resumo &amp; Instruções" sheetId="1" state="visible" r:id="rId1"/>
    <sheet xmlns:r="http://schemas.openxmlformats.org/officeDocument/2006/relationships" name="_DV" sheetId="2" state="hidden" r:id="rId2"/>
    <sheet xmlns:r="http://schemas.openxmlformats.org/officeDocument/2006/relationships" name="Familia" sheetId="3" state="visible" r:id="rId3"/>
    <sheet xmlns:r="http://schemas.openxmlformats.org/officeDocument/2006/relationships" name="Escola" sheetId="4" state="visible" r:id="rId4"/>
    <sheet xmlns:r="http://schemas.openxmlformats.org/officeDocument/2006/relationships" name="Eu mesmo" sheetId="5" state="visible" r:id="rId5"/>
    <sheet xmlns:r="http://schemas.openxmlformats.org/officeDocument/2006/relationships" name="Amigos" sheetId="6" state="visible" r:id="rId6"/>
    <sheet xmlns:r="http://schemas.openxmlformats.org/officeDocument/2006/relationships" name="Comunidade" sheetId="7" state="visible" r:id="rId7"/>
    <sheet xmlns:r="http://schemas.openxmlformats.org/officeDocument/2006/relationships" name="Igrej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textRotation="90"/>
    </xf>
    <xf numFmtId="0" fontId="0" fillId="0" borderId="0" applyAlignment="1" pivotButton="0" quotePrefix="0" xfId="0">
      <alignment textRotation="90"/>
    </xf>
    <xf numFmtId="0" fontId="1" fillId="2" borderId="1" applyAlignment="1" pivotButton="0" quotePrefix="0" xfId="0">
      <alignment horizontal="center" textRotation="90"/>
    </xf>
    <xf numFmtId="1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 textRotation="90"/>
    </xf>
    <xf numFmtId="0" fontId="1" fillId="0" borderId="1" applyAlignment="1" pivotButton="0" quotePrefix="0" xfId="0">
      <alignment horizontal="center" vertical="top" textRotation="90" wrapText="1"/>
    </xf>
    <xf numFmtId="0" fontId="1" fillId="0" borderId="1" applyAlignment="1" pivotButton="0" quotePrefix="0" xfId="0">
      <alignment horizontal="center" textRotation="90" wrapText="1"/>
    </xf>
    <xf numFmtId="0" fontId="1" fillId="2" borderId="1" applyAlignment="1" pivotButton="0" quotePrefix="0" xfId="0">
      <alignment textRotation="90" wrapText="1"/>
    </xf>
    <xf numFmtId="0" fontId="1" fillId="2" borderId="1" applyAlignment="1" pivotButton="0" quotePrefix="0" xfId="0">
      <alignment horizontal="center" textRotation="90" wrapText="1"/>
    </xf>
    <xf numFmtId="0" fontId="0" fillId="0" borderId="0" applyAlignment="1" pivotButton="0" quotePrefix="0" xfId="0">
      <alignment textRotation="90" wrapText="1"/>
    </xf>
    <xf numFmtId="0" fontId="0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vertical="top" textRotation="90" wrapText="1"/>
    </xf>
    <xf numFmtId="0" fontId="0" fillId="3" borderId="0" pivotButton="0" quotePrefix="0" xfId="0"/>
    <xf numFmtId="0" fontId="0" fillId="3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 textRotation="90"/>
    </xf>
    <xf numFmtId="0" fontId="0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center" vertical="top" textRotation="9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B8" sqref="B8"/>
    </sheetView>
  </sheetViews>
  <sheetFormatPr baseColWidth="8" defaultRowHeight="15"/>
  <cols>
    <col width="20.7109375" customWidth="1" min="1" max="1"/>
    <col width="90.7109375" customWidth="1" min="2" max="2"/>
    <col width="120.7109375" customWidth="1" min="3" max="3"/>
    <col width="18.7109375" customWidth="1" min="4" max="14"/>
  </cols>
  <sheetData>
    <row r="1">
      <c r="A1" s="1" t="inlineStr">
        <is>
          <t>Como preencher</t>
        </is>
      </c>
    </row>
    <row r="2" ht="30" customHeight="1">
      <c r="A2" t="inlineStr">
        <is>
          <t>1.</t>
        </is>
      </c>
      <c r="B2" s="17" t="inlineStr">
        <is>
          <t>Preencha FreqNum/Unid (colunas G/H), CadenciaNum/Unid (colunas I/J – opcional) e PeriodoNum/Unid (colunas K/L).  Cadência sem valor significa "não se aplica"</t>
        </is>
      </c>
    </row>
    <row r="3">
      <c r="A3" s="22" t="inlineStr">
        <is>
          <t>FreqNum/Unid</t>
        </is>
      </c>
      <c r="B3" t="inlineStr">
        <is>
          <t>Quantas vezes (Num) por tempo (Unid) - Ex. Uma vez por dia ou duas vezes por semana</t>
        </is>
      </c>
    </row>
    <row r="4">
      <c r="A4" s="22" t="inlineStr">
        <is>
          <t>CadenciaNum/Unid</t>
        </is>
      </c>
      <c r="B4" t="inlineStr">
        <is>
          <t>em uma cadência de (Num) tempo (Unid) - Ex. De três em três (Num) dias (Unid)</t>
        </is>
      </c>
    </row>
    <row r="5">
      <c r="A5" s="22" t="inlineStr">
        <is>
          <t>Duracao Num/Unid</t>
        </is>
      </c>
      <c r="B5" t="inlineStr">
        <is>
          <t>Por um período de (Num) tempo (Unid) - Ex.: Por um período de duas (Num) semanas (Unid)</t>
        </is>
      </c>
    </row>
    <row r="6">
      <c r="A6" s="22" t="inlineStr">
        <is>
          <t>Ordem Área</t>
        </is>
      </c>
      <c r="B6" t="inlineStr">
        <is>
          <t>Segue a sequência das Abas da esquerda (Familia=1) para a direita, consecutivamente até Igreja=6</t>
        </is>
      </c>
    </row>
    <row r="7">
      <c r="A7" s="22" t="inlineStr">
        <is>
          <t>Ordem Nível</t>
        </is>
      </c>
      <c r="B7" t="inlineStr">
        <is>
          <t>1 = Básico, 2 = Desafio e 3 = Avançado</t>
        </is>
      </c>
    </row>
    <row r="8">
      <c r="A8" s="22" t="inlineStr">
        <is>
          <t>Ordem Estratégia</t>
        </is>
      </c>
      <c r="B8" t="inlineStr">
        <is>
          <t>Pela sequencia do registro, por linha, apenas dentro do nível. Ex.: A primeira linha do nível básico = , até a última estratégia do nível básico = 10. Zera para iniciar o nivel Desafio, 1 a 12, e nível Avançado, 1 a 15.</t>
        </is>
      </c>
    </row>
    <row r="9">
      <c r="A9" s="22" t="n"/>
    </row>
    <row r="10">
      <c r="A10" t="inlineStr">
        <is>
          <t>2.</t>
        </is>
      </c>
      <c r="B10" t="inlineStr">
        <is>
          <t>Unidades válidas: d = dia(s), s = semana(s).</t>
        </is>
      </c>
    </row>
    <row r="11">
      <c r="A11" t="inlineStr">
        <is>
          <t>3.</t>
        </is>
      </c>
      <c r="B11" t="inlineStr">
        <is>
          <t>Zeros à esquerda não são necessários nas colunas numéricas.</t>
        </is>
      </c>
    </row>
    <row r="12">
      <c r="A12" t="inlineStr">
        <is>
          <t>4.</t>
        </is>
      </c>
      <c r="B12" t="inlineStr">
        <is>
          <t>A coluna CODIGO é base (área+nivel+ordem); o sufixo será gerado após preenchimento.</t>
        </is>
      </c>
    </row>
    <row r="13">
      <c r="A13" t="inlineStr">
        <is>
          <t>5.</t>
        </is>
      </c>
      <c r="B13" t="inlineStr">
        <is>
          <t>Se FreqNum = 0 e Unid = d → significa 'o dia inteiro'.</t>
        </is>
      </c>
    </row>
    <row r="14">
      <c r="A14" t="inlineStr">
        <is>
          <t>6.</t>
        </is>
      </c>
      <c r="B14" t="inlineStr">
        <is>
          <t>Use apenas números inteiros (&gt;=0) para Freq/Cadencia/Período.</t>
        </is>
      </c>
    </row>
    <row r="15">
      <c r="A15" t="inlineStr">
        <is>
          <t>Exemplo de sufixo</t>
        </is>
      </c>
      <c r="B15" t="inlineStr">
        <is>
          <t>2d7d = 2 vezes por dia por 7 dias | 1s2s = 1 vez por semana por 2 semanas | 0d3d = dia inteiro por 3 dias | 0d0d - ficar atento para a primeira oportunidade  | 1d1d - pelo menos uma vez na primeira oportunidade</t>
        </is>
      </c>
    </row>
    <row r="19">
      <c r="A19" s="1" t="inlineStr">
        <is>
          <t>Área</t>
        </is>
      </c>
      <c r="B19" s="1" t="inlineStr">
        <is>
          <t>Linhas</t>
        </is>
      </c>
      <c r="C19" s="1" t="inlineStr">
        <is>
          <t>Dimensões únicas</t>
        </is>
      </c>
    </row>
    <row r="20">
      <c r="A20" t="inlineStr">
        <is>
          <t>Família</t>
        </is>
      </c>
      <c r="B20" t="n">
        <v>37</v>
      </c>
      <c r="C20" t="n">
        <v>3</v>
      </c>
    </row>
    <row r="21">
      <c r="A21" t="inlineStr">
        <is>
          <t>Escola</t>
        </is>
      </c>
      <c r="B21" t="n">
        <v>37</v>
      </c>
      <c r="C21" t="n">
        <v>3</v>
      </c>
    </row>
    <row r="22">
      <c r="A22" t="inlineStr">
        <is>
          <t>Eu mesmo</t>
        </is>
      </c>
      <c r="B22" t="n">
        <v>37</v>
      </c>
      <c r="C22" t="n">
        <v>3</v>
      </c>
    </row>
    <row r="23">
      <c r="A23" t="inlineStr">
        <is>
          <t>Amigos</t>
        </is>
      </c>
      <c r="B23" t="n">
        <v>37</v>
      </c>
      <c r="C23" t="n">
        <v>3</v>
      </c>
    </row>
    <row r="24">
      <c r="A24" t="inlineStr">
        <is>
          <t>Comunidade</t>
        </is>
      </c>
      <c r="B24" t="n">
        <v>37</v>
      </c>
      <c r="C24" t="n">
        <v>3</v>
      </c>
    </row>
    <row r="25">
      <c r="A25" t="inlineStr">
        <is>
          <t>Igreja</t>
        </is>
      </c>
      <c r="B25" t="n">
        <v>37</v>
      </c>
      <c r="C25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pane="bottomLeft" activeCell="J1" sqref="I1:J1"/>
    </sheetView>
  </sheetViews>
  <sheetFormatPr baseColWidth="8" defaultRowHeight="15"/>
  <cols>
    <col width="7.28515625" bestFit="1" customWidth="1" min="1" max="1"/>
    <col width="9.5703125" bestFit="1" customWidth="1" min="2" max="2"/>
    <col width="85.28515625" bestFit="1" customWidth="1" min="3" max="3"/>
    <col width="3.7109375" bestFit="1" customWidth="1" min="4" max="6"/>
    <col width="3.7109375" bestFit="1" customWidth="1" style="19" min="7" max="12"/>
    <col width="12.28515625" bestFit="1" customWidth="1" min="13" max="13"/>
    <col width="3.7109375" bestFit="1" customWidth="1" min="14" max="14"/>
    <col width="55.28515625" bestFit="1" customWidth="1" min="15" max="15"/>
  </cols>
  <sheetData>
    <row r="1" ht="109.5" customHeight="1">
      <c r="A1" s="12" t="inlineStr">
        <is>
          <t>Area</t>
        </is>
      </c>
      <c r="B1" s="12" t="inlineStr">
        <is>
          <t>Nivel</t>
        </is>
      </c>
      <c r="C1" s="12" t="inlineStr">
        <is>
          <t>Estrategia</t>
        </is>
      </c>
      <c r="D1" s="12" t="inlineStr">
        <is>
          <t>OrdemArea</t>
        </is>
      </c>
      <c r="E1" s="12" t="inlineStr">
        <is>
          <t>OrdemNivel</t>
        </is>
      </c>
      <c r="F1" s="12" t="inlineStr">
        <is>
          <t>OrdemEstrategia</t>
        </is>
      </c>
      <c r="G1" s="18" t="inlineStr">
        <is>
          <t>FreqNum</t>
        </is>
      </c>
      <c r="H1" s="18" t="inlineStr">
        <is>
          <t>FreqUnid</t>
        </is>
      </c>
      <c r="I1" s="23" t="inlineStr">
        <is>
          <t>CadenciaNum</t>
        </is>
      </c>
      <c r="J1" s="23" t="inlineStr">
        <is>
          <t>CadenciaUnid</t>
        </is>
      </c>
      <c r="K1" s="18" t="inlineStr">
        <is>
          <t>PeriodoNum</t>
        </is>
      </c>
      <c r="L1" s="18" t="inlineStr">
        <is>
          <t>PeriodoUnid</t>
        </is>
      </c>
      <c r="M1" s="12" t="inlineStr">
        <is>
          <t>CODIGO</t>
        </is>
      </c>
      <c r="N1" s="11" t="inlineStr">
        <is>
          <t>Peso</t>
        </is>
      </c>
      <c r="O1" s="13" t="inlineStr">
        <is>
          <t>Descrição da Dosagem</t>
        </is>
      </c>
      <c r="P1" t="inlineStr">
        <is>
          <t>CodArea</t>
        </is>
      </c>
      <c r="Q1" t="inlineStr">
        <is>
          <t>CodObjetivoSugerido</t>
        </is>
      </c>
      <c r="R1" t="inlineStr">
        <is>
          <t>DescObjetivoSugerida</t>
        </is>
      </c>
      <c r="S1" t="inlineStr">
        <is>
          <t>ScoreAlinhamento</t>
        </is>
      </c>
    </row>
    <row r="2">
      <c r="A2" s="2" t="inlineStr">
        <is>
          <t>Família</t>
        </is>
      </c>
      <c r="B2" s="2" t="inlineStr">
        <is>
          <t>Básico</t>
        </is>
      </c>
      <c r="C2" s="2" t="inlineStr">
        <is>
          <t>Conversar com meus pais sobre como foi meu dia.</t>
        </is>
      </c>
      <c r="D2" s="9" t="n">
        <v>1</v>
      </c>
      <c r="E2" s="9" t="n">
        <v>1</v>
      </c>
      <c r="F2" s="9" t="n">
        <v>1</v>
      </c>
      <c r="G2" s="20" t="n">
        <v>1</v>
      </c>
      <c r="H2" s="20" t="inlineStr">
        <is>
          <t>d</t>
        </is>
      </c>
      <c r="I2" s="20" t="n"/>
      <c r="J2" s="20" t="n"/>
      <c r="K2" s="20" t="n">
        <v>2</v>
      </c>
      <c r="L2" s="20" t="inlineStr">
        <is>
          <t>d</t>
        </is>
      </c>
      <c r="M2" s="9">
        <f>LEFT(A2,2)&amp;LEFT(B2,1)&amp;TEXT(F2,"000")&amp;"-"&amp;(G2)&amp;H2&amp;(K2)&amp;L2</f>
        <v/>
      </c>
      <c r="N2" s="9">
        <f>IF(B2="Básico",1,IF(B2="Desafio",2,IF(B2="Avançado",3)))</f>
        <v/>
      </c>
      <c r="O2" s="2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/>
      </c>
      <c r="P2" t="inlineStr">
        <is>
          <t>A01</t>
        </is>
      </c>
      <c r="Q2" t="inlineStr">
        <is>
          <t>A01O01</t>
        </is>
      </c>
      <c r="R2" t="inlineStr">
        <is>
          <t>Melhorar a comunicação com meus pais</t>
        </is>
      </c>
      <c r="S2" t="n">
        <v>0.286</v>
      </c>
    </row>
    <row r="3">
      <c r="A3" s="2" t="inlineStr">
        <is>
          <t>Família</t>
        </is>
      </c>
      <c r="B3" s="2" t="inlineStr">
        <is>
          <t>Básico</t>
        </is>
      </c>
      <c r="C3" s="2" t="inlineStr">
        <is>
          <t>Ajudar em uma tarefa de casa sem que me peçam. Definir a tarefa.</t>
        </is>
      </c>
      <c r="D3" s="9" t="n">
        <v>1</v>
      </c>
      <c r="E3" s="9" t="n">
        <v>1</v>
      </c>
      <c r="F3" s="9" t="n">
        <v>2</v>
      </c>
      <c r="G3" s="20" t="n">
        <v>1</v>
      </c>
      <c r="H3" s="20" t="inlineStr">
        <is>
          <t>d</t>
        </is>
      </c>
      <c r="I3" s="20" t="n"/>
      <c r="J3" s="20" t="n"/>
      <c r="K3" s="20" t="n">
        <v>3</v>
      </c>
      <c r="L3" s="20" t="inlineStr">
        <is>
          <t>d</t>
        </is>
      </c>
      <c r="M3" s="9" t="inlineStr">
        <is>
          <t>FaB002-1d7d</t>
        </is>
      </c>
      <c r="N3" s="9">
        <f>IF(B3="Básico",1,IF(B3="Desafio",2,IF(B3="Avançado",3)))</f>
        <v/>
      </c>
      <c r="O3" s="2">
        <f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/>
      </c>
      <c r="P3" t="inlineStr">
        <is>
          <t>A01</t>
        </is>
      </c>
      <c r="Q3" t="inlineStr">
        <is>
          <t>A01O02</t>
        </is>
      </c>
      <c r="R3" t="inlineStr">
        <is>
          <t>Ajudar nas tarefas de casa com regularidade</t>
        </is>
      </c>
      <c r="S3" t="n">
        <v>0.5</v>
      </c>
    </row>
    <row r="4">
      <c r="A4" s="2" t="inlineStr">
        <is>
          <t>Família</t>
        </is>
      </c>
      <c r="B4" s="2" t="inlineStr">
        <is>
          <t>Básico</t>
        </is>
      </c>
      <c r="C4" s="2" t="inlineStr">
        <is>
          <t>Dar um abraço de carinho em alguém da família.</t>
        </is>
      </c>
      <c r="D4" s="9" t="n">
        <v>1</v>
      </c>
      <c r="E4" s="9" t="n">
        <v>1</v>
      </c>
      <c r="F4" s="9" t="n">
        <v>3</v>
      </c>
      <c r="G4" s="20" t="n">
        <v>1</v>
      </c>
      <c r="H4" s="20" t="inlineStr">
        <is>
          <t>d</t>
        </is>
      </c>
      <c r="I4" s="20" t="n"/>
      <c r="J4" s="20" t="n"/>
      <c r="K4" s="20" t="n">
        <v>2</v>
      </c>
      <c r="L4" s="20" t="inlineStr">
        <is>
          <t>d</t>
        </is>
      </c>
      <c r="M4" s="9" t="inlineStr">
        <is>
          <t>FaB003-1d7d</t>
        </is>
      </c>
      <c r="N4" s="9">
        <f>IF(B4="Básico",1,IF(B4="Desafio",2,IF(B4="Avançado",3)))</f>
        <v/>
      </c>
      <c r="O4" s="2">
        <f>IF(
AND(G4="",H4="",I4="",J4="",K4="",L4=""),
"Fique atento para a primeira oportunidade que surgir",
IF(AND(G4=0,LOWER(H4)="d",K4=0,LOWER(L4)="d"),
"Fique atento para a primeira oportunidade que surgir",
IF(AND(G4=1,LOWER(H4)="d",K4=1,LOWER(L4)="d"),
"Pelo menos uma vez",
IF(G4=0,"O dia inteiro",IF(G4=1,"Uma vez",TEXT(G4,"0")&amp;" vezes")&amp;" por "&amp;IF(LOWER(H4)="d","dia","semana"))
&amp;IF(AND(ISNUMBER(I4),I4&gt;0),", a cada "&amp;TEXT(I4,"0")&amp;" "&amp;IF(I4=1,IF(LOWER(J4)="d","dia","semana"),IF(LOWER(J4)="d","dias","semanas"))&amp;",","")
&amp;" por um período de "&amp;TEXT(K4,"0")&amp;" "&amp;IF(K4=1,IF(LOWER(L4)="d","dia","semana"),IF(LOWER(L4)="d","dias","semanas"))
)
)
)</f>
        <v/>
      </c>
      <c r="P4" t="inlineStr">
        <is>
          <t>A01</t>
        </is>
      </c>
      <c r="Q4" t="inlineStr">
        <is>
          <t>A01O07</t>
        </is>
      </c>
      <c r="R4" t="inlineStr">
        <is>
          <t>Orar com minha família regularmente</t>
        </is>
      </c>
      <c r="S4" t="n">
        <v>0.125</v>
      </c>
    </row>
    <row r="5">
      <c r="A5" s="2" t="inlineStr">
        <is>
          <t>Família</t>
        </is>
      </c>
      <c r="B5" s="2" t="inlineStr">
        <is>
          <t>Básico</t>
        </is>
      </c>
      <c r="C5" s="2" t="inlineStr">
        <is>
          <t>Participar de uma refeição em família sem celular.</t>
        </is>
      </c>
      <c r="D5" s="9" t="n">
        <v>1</v>
      </c>
      <c r="E5" s="9" t="n">
        <v>1</v>
      </c>
      <c r="F5" s="9" t="n">
        <v>4</v>
      </c>
      <c r="G5" s="20" t="n">
        <v>2</v>
      </c>
      <c r="H5" s="20" t="inlineStr">
        <is>
          <t>d</t>
        </is>
      </c>
      <c r="I5" s="20" t="n"/>
      <c r="J5" s="20" t="n"/>
      <c r="K5" s="20" t="n">
        <v>4</v>
      </c>
      <c r="L5" s="20" t="inlineStr">
        <is>
          <t>d</t>
        </is>
      </c>
      <c r="M5" s="9" t="inlineStr">
        <is>
          <t>FaB004-1d7d</t>
        </is>
      </c>
      <c r="N5" s="9">
        <f>IF(B5="Básico",1,IF(B5="Desafio",2,IF(B5="Avançado",3)))</f>
        <v/>
      </c>
      <c r="O5" s="2">
        <f>IF(
AND(G5="",H5="",I5="",J5="",K5="",L5=""),
"Fique atento para a primeira oportunidade que surgir",
IF(AND(G5=0,LOWER(H5)="d",K5=0,LOWER(L5)="d"),
"Fique atento para a primeira oportunidade que surgir",
IF(AND(G5=1,LOWER(H5)="d",K5=1,LOWER(L5)="d"),
"Pelo menos uma vez",
IF(G5=0,"O dia inteiro",IF(G5=1,"Uma vez",TEXT(G5,"0")&amp;" vezes")&amp;" por "&amp;IF(LOWER(H5)="d","dia","semana"))
&amp;IF(AND(ISNUMBER(I5),I5&gt;0),", a cada "&amp;TEXT(I5,"0")&amp;" "&amp;IF(I5=1,IF(LOWER(J5)="d","dia","semana"),IF(LOWER(J5)="d","dias","semanas"))&amp;",","")
&amp;" por um período de "&amp;TEXT(K5,"0")&amp;" "&amp;IF(K5=1,IF(LOWER(L5)="d","dia","semana"),IF(LOWER(L5)="d","dias","semanas"))
)
)
)</f>
        <v/>
      </c>
      <c r="P5" t="inlineStr">
        <is>
          <t>A01</t>
        </is>
      </c>
      <c r="Q5" t="inlineStr">
        <is>
          <t>A01O07</t>
        </is>
      </c>
      <c r="R5" t="inlineStr">
        <is>
          <t>Orar com minha família regularmente</t>
        </is>
      </c>
      <c r="S5" t="n">
        <v>0.143</v>
      </c>
    </row>
    <row r="6">
      <c r="A6" s="2" t="inlineStr">
        <is>
          <t>Família</t>
        </is>
      </c>
      <c r="B6" s="2" t="inlineStr">
        <is>
          <t>Básico</t>
        </is>
      </c>
      <c r="C6" s="2" t="inlineStr">
        <is>
          <t>Ouvir com atenção a opinião de um familiar.</t>
        </is>
      </c>
      <c r="D6" s="9" t="n">
        <v>1</v>
      </c>
      <c r="E6" s="9" t="n">
        <v>1</v>
      </c>
      <c r="F6" s="9" t="n">
        <v>5</v>
      </c>
      <c r="G6" s="20" t="n">
        <v>0</v>
      </c>
      <c r="H6" s="20" t="inlineStr">
        <is>
          <t>d</t>
        </is>
      </c>
      <c r="I6" s="20" t="n"/>
      <c r="J6" s="20" t="n"/>
      <c r="K6" s="20" t="n">
        <v>7</v>
      </c>
      <c r="L6" s="20" t="inlineStr">
        <is>
          <t>d</t>
        </is>
      </c>
      <c r="M6" s="9" t="inlineStr">
        <is>
          <t>FaB005-1d7d</t>
        </is>
      </c>
      <c r="N6" s="9">
        <f>IF(B6="Básico",1,IF(B6="Desafio",2,IF(B6="Avançado",3)))</f>
        <v/>
      </c>
      <c r="O6" s="2">
        <f>IF(
AND(G6="",H6="",I6="",J6="",K6="",L6=""),
"Fique atento para a primeira oportunidade que surgir",
IF(AND(G6=0,LOWER(H6)="d",K6=0,LOWER(L6)="d"),
"Fique atento para a primeira oportunidade que surgir",
IF(AND(G6=1,LOWER(H6)="d",K6=1,LOWER(L6)="d"),
"Pelo menos uma vez",
IF(G6=0,"O dia inteiro",IF(G6=1,"Uma vez",TEXT(G6,"0")&amp;" vezes")&amp;" por "&amp;IF(LOWER(H6)="d","dia","semana"))
&amp;IF(AND(ISNUMBER(I6),I6&gt;0),", a cada "&amp;TEXT(I6,"0")&amp;" "&amp;IF(I6=1,IF(LOWER(J6)="d","dia","semana"),IF(LOWER(J6)="d","dias","semanas"))&amp;",","")
&amp;" por um período de "&amp;TEXT(K6,"0")&amp;" "&amp;IF(K6=1,IF(LOWER(L6)="d","dia","semana"),IF(LOWER(L6)="d","dias","semanas"))
)
)
)</f>
        <v/>
      </c>
      <c r="P6" t="inlineStr">
        <is>
          <t>A01</t>
        </is>
      </c>
      <c r="Q6" t="inlineStr">
        <is>
          <t>A01O01</t>
        </is>
      </c>
      <c r="R6" t="inlineStr">
        <is>
          <t>Melhorar a comunicação com meus pais</t>
        </is>
      </c>
      <c r="S6" t="n">
        <v>0</v>
      </c>
    </row>
    <row r="7">
      <c r="A7" s="2" t="inlineStr">
        <is>
          <t>Família</t>
        </is>
      </c>
      <c r="B7" s="2" t="inlineStr">
        <is>
          <t>Básico</t>
        </is>
      </c>
      <c r="C7" s="2" t="inlineStr">
        <is>
          <t>Fazer uma oração pela minha família.</t>
        </is>
      </c>
      <c r="D7" s="9" t="n">
        <v>1</v>
      </c>
      <c r="E7" s="9" t="n">
        <v>1</v>
      </c>
      <c r="F7" s="9" t="n">
        <v>6</v>
      </c>
      <c r="G7" s="20" t="n">
        <v>1</v>
      </c>
      <c r="H7" s="20" t="inlineStr">
        <is>
          <t>d</t>
        </is>
      </c>
      <c r="I7" s="20" t="n">
        <v>2</v>
      </c>
      <c r="J7" s="20" t="inlineStr">
        <is>
          <t>d</t>
        </is>
      </c>
      <c r="K7" s="20" t="n">
        <v>7</v>
      </c>
      <c r="L7" s="20" t="inlineStr">
        <is>
          <t>d</t>
        </is>
      </c>
      <c r="M7" s="9" t="inlineStr">
        <is>
          <t>FaB006-1d7d</t>
        </is>
      </c>
      <c r="N7" s="9">
        <f>IF(B7="Básico",1,IF(B7="Desafio",2,IF(B7="Avançado",3)))</f>
        <v/>
      </c>
      <c r="O7" s="2">
        <f>IF(
AND(G7="",H7="",I7="",J7="",K7="",L7=""),
"Fique atento para a primeira oportunidade que surgir",
IF(AND(G7=0,LOWER(H7)="d",K7=0,LOWER(L7)="d"),
"Fique atento para a primeira oportunidade que surgir",
IF(AND(G7=1,LOWER(H7)="d",K7=1,LOWER(L7)="d"),
"Pelo menos uma vez",
IF(G7=0,"O dia inteiro",IF(G7=1,"Uma vez",TEXT(G7,"0")&amp;" vezes")&amp;" por "&amp;IF(LOWER(H7)="d","dia","semana"))
&amp;IF(AND(ISNUMBER(I7),I7&gt;0),", a cada "&amp;TEXT(I7,"0")&amp;" "&amp;IF(I7=1,IF(LOWER(J7)="d","dia","semana"),IF(LOWER(J7)="d","dias","semanas"))&amp;",","")
&amp;" por um período de "&amp;TEXT(K7,"0")&amp;" "&amp;IF(K7=1,IF(LOWER(L7)="d","dia","semana"),IF(LOWER(L7)="d","dias","semanas"))
)
)
)</f>
        <v/>
      </c>
      <c r="P7" t="inlineStr">
        <is>
          <t>A01</t>
        </is>
      </c>
      <c r="Q7" t="inlineStr">
        <is>
          <t>A01O07</t>
        </is>
      </c>
      <c r="R7" t="inlineStr">
        <is>
          <t>Orar com minha família regularmente</t>
        </is>
      </c>
      <c r="S7" t="n">
        <v>0.286</v>
      </c>
    </row>
    <row r="8">
      <c r="A8" s="2" t="inlineStr">
        <is>
          <t>Família</t>
        </is>
      </c>
      <c r="B8" s="2" t="inlineStr">
        <is>
          <t>Básico</t>
        </is>
      </c>
      <c r="C8" s="2" t="inlineStr">
        <is>
          <t>Escrever uma mensagem positiva para um parente.</t>
        </is>
      </c>
      <c r="D8" s="9" t="n">
        <v>1</v>
      </c>
      <c r="E8" s="9" t="n">
        <v>1</v>
      </c>
      <c r="F8" s="9" t="n">
        <v>7</v>
      </c>
      <c r="G8" s="20" t="n">
        <v>1</v>
      </c>
      <c r="H8" s="20" t="inlineStr">
        <is>
          <t>d</t>
        </is>
      </c>
      <c r="I8" s="20" t="n">
        <v>3</v>
      </c>
      <c r="J8" s="20" t="inlineStr">
        <is>
          <t>d</t>
        </is>
      </c>
      <c r="K8" s="20" t="n">
        <v>6</v>
      </c>
      <c r="L8" s="20" t="inlineStr">
        <is>
          <t>d</t>
        </is>
      </c>
      <c r="M8" s="9" t="inlineStr">
        <is>
          <t>FaB007-1d7d</t>
        </is>
      </c>
      <c r="N8" s="9">
        <f>IF(B8="Básico",1,IF(B8="Desafio",2,IF(B8="Avançado",3)))</f>
        <v/>
      </c>
      <c r="O8" s="2">
        <f>IF(
AND(G8="",H8="",I8="",J8="",K8="",L8=""),
"Fique atento para a primeira oportunidade que surgir",
IF(AND(G8=0,LOWER(H8)="d",K8=0,LOWER(L8)="d"),
"Fique atento para a primeira oportunidade que surgir",
IF(AND(G8=1,LOWER(H8)="d",K8=1,LOWER(L8)="d"),
"Pelo menos uma vez",
IF(G8=0,"O dia inteiro",IF(G8=1,"Uma vez",TEXT(G8,"0")&amp;" vezes")&amp;" por "&amp;IF(LOWER(H8)="d","dia","semana"))
&amp;IF(AND(ISNUMBER(I8),I8&gt;0),", a cada "&amp;TEXT(I8,"0")&amp;" "&amp;IF(I8=1,IF(LOWER(J8)="d","dia","semana"),IF(LOWER(J8)="d","dias","semanas"))&amp;",","")
&amp;" por um período de "&amp;TEXT(K8,"0")&amp;" "&amp;IF(K8=1,IF(LOWER(L8)="d","dia","semana"),IF(LOWER(L8)="d","dias","semanas"))
)
)
)</f>
        <v/>
      </c>
      <c r="P8" t="inlineStr">
        <is>
          <t>A01</t>
        </is>
      </c>
      <c r="Q8" t="inlineStr">
        <is>
          <t>A01O04</t>
        </is>
      </c>
      <c r="R8" t="inlineStr">
        <is>
          <t>Ser mais paciente com meus irmãos ou parentes</t>
        </is>
      </c>
      <c r="S8" t="n">
        <v>0.125</v>
      </c>
    </row>
    <row r="9">
      <c r="A9" s="2" t="inlineStr">
        <is>
          <t>Família</t>
        </is>
      </c>
      <c r="B9" s="2" t="inlineStr">
        <is>
          <t>Básico</t>
        </is>
      </c>
      <c r="C9" s="2" t="inlineStr">
        <is>
          <t>Organizar meu quarto ou espaço pessoal.</t>
        </is>
      </c>
      <c r="D9" s="9" t="n">
        <v>1</v>
      </c>
      <c r="E9" s="9" t="n">
        <v>1</v>
      </c>
      <c r="F9" s="9" t="n">
        <v>8</v>
      </c>
      <c r="G9" s="20" t="n">
        <v>1</v>
      </c>
      <c r="H9" s="20" t="inlineStr">
        <is>
          <t>d</t>
        </is>
      </c>
      <c r="I9" s="20" t="n"/>
      <c r="J9" s="20" t="n"/>
      <c r="K9" s="20" t="n">
        <v>7</v>
      </c>
      <c r="L9" s="20" t="inlineStr">
        <is>
          <t>d</t>
        </is>
      </c>
      <c r="M9" s="9" t="inlineStr">
        <is>
          <t>FaB008-1d7d</t>
        </is>
      </c>
      <c r="N9" s="9">
        <f>IF(B9="Básico",1,IF(B9="Desafio",2,IF(B9="Avançado",3)))</f>
        <v/>
      </c>
      <c r="O9" s="2">
        <f>IF(
AND(G9="",H9="",I9="",J9="",K9="",L9=""),
"Fique atento para a primeira oportunidade que surgir",
IF(AND(G9=0,LOWER(H9)="d",K9=0,LOWER(L9)="d"),
"Fique atento para a primeira oportunidade que surgir",
IF(AND(G9=1,LOWER(H9)="d",K9=1,LOWER(L9)="d"),
"Pelo menos uma vez",
IF(G9=0,"O dia inteiro",IF(G9=1,"Uma vez",TEXT(G9,"0")&amp;" vezes")&amp;" por "&amp;IF(LOWER(H9)="d","dia","semana"))
&amp;IF(AND(ISNUMBER(I9),I9&gt;0),", a cada "&amp;TEXT(I9,"0")&amp;" "&amp;IF(I9=1,IF(LOWER(J9)="d","dia","semana"),IF(LOWER(J9)="d","dias","semanas"))&amp;",","")
&amp;" por um período de "&amp;TEXT(K9,"0")&amp;" "&amp;IF(K9=1,IF(LOWER(L9)="d","dia","semana"),IF(LOWER(L9)="d","dias","semanas"))
)
)
)</f>
        <v/>
      </c>
      <c r="P9" t="inlineStr">
        <is>
          <t>A01</t>
        </is>
      </c>
      <c r="Q9" t="inlineStr">
        <is>
          <t>A01O01</t>
        </is>
      </c>
      <c r="R9" t="inlineStr">
        <is>
          <t>Melhorar a comunicação com meus pais</t>
        </is>
      </c>
      <c r="S9" t="n">
        <v>0.125</v>
      </c>
    </row>
    <row r="10">
      <c r="A10" s="2" t="inlineStr">
        <is>
          <t>Família</t>
        </is>
      </c>
      <c r="B10" s="2" t="inlineStr">
        <is>
          <t>Básico</t>
        </is>
      </c>
      <c r="C10" s="2" t="inlineStr">
        <is>
          <t>Agradecer algo específico que alguém da família fez por mim.</t>
        </is>
      </c>
      <c r="D10" s="9" t="n">
        <v>1</v>
      </c>
      <c r="E10" s="9" t="n">
        <v>1</v>
      </c>
      <c r="F10" s="9" t="n">
        <v>9</v>
      </c>
      <c r="G10" s="20" t="n">
        <v>1</v>
      </c>
      <c r="H10" s="20" t="inlineStr">
        <is>
          <t>d</t>
        </is>
      </c>
      <c r="I10" s="20" t="n">
        <v>2</v>
      </c>
      <c r="J10" s="20" t="inlineStr">
        <is>
          <t>d</t>
        </is>
      </c>
      <c r="K10" s="20" t="n">
        <v>6</v>
      </c>
      <c r="L10" s="20" t="inlineStr">
        <is>
          <t>d</t>
        </is>
      </c>
      <c r="M10" s="9" t="inlineStr">
        <is>
          <t>FaB009-1d7d</t>
        </is>
      </c>
      <c r="N10" s="9">
        <f>IF(B10="Básico",1,IF(B10="Desafio",2,IF(B10="Avançado",3)))</f>
        <v/>
      </c>
      <c r="O10" s="2">
        <f>IF(
AND(G10="",H10="",I10="",J10="",K10="",L10=""),
"Fique atento para a primeira oportunidade que surgir",
IF(AND(G10=0,LOWER(H10)="d",K10=0,LOWER(L10)="d"),
"Fique atento para a primeira oportunidade que surgir",
IF(AND(G10=1,LOWER(H10)="d",K10=1,LOWER(L10)="d"),
"Pelo menos uma vez",
IF(G10=0,"O dia inteiro",IF(G10=1,"Uma vez",TEXT(G10,"0")&amp;" vezes")&amp;" por "&amp;IF(LOWER(H10)="d","dia","semana"))
&amp;IF(AND(ISNUMBER(I10),I10&gt;0),", a cada "&amp;TEXT(I10,"0")&amp;" "&amp;IF(I10=1,IF(LOWER(J10)="d","dia","semana"),IF(LOWER(J10)="d","dias","semanas"))&amp;",","")
&amp;" por um período de "&amp;TEXT(K10,"0")&amp;" "&amp;IF(K10=1,IF(LOWER(L10)="d","dia","semana"),IF(LOWER(L10)="d","dias","semanas"))
)
)
)</f>
        <v/>
      </c>
      <c r="P10" t="inlineStr">
        <is>
          <t>A01</t>
        </is>
      </c>
      <c r="Q10" t="inlineStr">
        <is>
          <t>A01O07</t>
        </is>
      </c>
      <c r="R10" t="inlineStr">
        <is>
          <t>Orar com minha família regularmente</t>
        </is>
      </c>
      <c r="S10" t="n">
        <v>0.1</v>
      </c>
    </row>
    <row r="11">
      <c r="A11" s="2" t="inlineStr">
        <is>
          <t>Família</t>
        </is>
      </c>
      <c r="B11" s="2" t="inlineStr">
        <is>
          <t>Básico</t>
        </is>
      </c>
      <c r="C11" s="2" t="inlineStr">
        <is>
          <t>Contar uma lembrança boa para alguém da família.</t>
        </is>
      </c>
      <c r="D11" s="9" t="n">
        <v>1</v>
      </c>
      <c r="E11" s="9" t="n">
        <v>1</v>
      </c>
      <c r="F11" s="9" t="n">
        <v>10</v>
      </c>
      <c r="G11" s="20" t="n">
        <v>1</v>
      </c>
      <c r="H11" s="20" t="inlineStr">
        <is>
          <t>d</t>
        </is>
      </c>
      <c r="I11" s="20" t="n">
        <v>3</v>
      </c>
      <c r="J11" s="20" t="inlineStr">
        <is>
          <t>d</t>
        </is>
      </c>
      <c r="K11" s="20" t="n">
        <v>6</v>
      </c>
      <c r="L11" s="20" t="inlineStr">
        <is>
          <t>d</t>
        </is>
      </c>
      <c r="M11" s="9" t="inlineStr">
        <is>
          <t>FaB010-1d7d</t>
        </is>
      </c>
      <c r="N11" s="9">
        <f>IF(B11="Básico",1,IF(B11="Desafio",2,IF(B11="Avançado",3)))</f>
        <v/>
      </c>
      <c r="O11" s="2">
        <f>IF(
AND(G11="",H11="",I11="",J11="",K11="",L11=""),
"Fique atento para a primeira oportunidade que surgir",
IF(AND(G11=0,LOWER(H11)="d",K11=0,LOWER(L11)="d"),
"Fique atento para a primeira oportunidade que surgir",
IF(AND(G11=1,LOWER(H11)="d",K11=1,LOWER(L11)="d"),
"Pelo menos uma vez",
IF(G11=0,"O dia inteiro",IF(G11=1,"Uma vez",TEXT(G11,"0")&amp;" vezes")&amp;" por "&amp;IF(LOWER(H11)="d","dia","semana"))
&amp;IF(AND(ISNUMBER(I11),I11&gt;0),", a cada "&amp;TEXT(I11,"0")&amp;" "&amp;IF(I11=1,IF(LOWER(J11)="d","dia","semana"),IF(LOWER(J11)="d","dias","semanas"))&amp;",","")
&amp;" por um período de "&amp;TEXT(K11,"0")&amp;" "&amp;IF(K11=1,IF(LOWER(L11)="d","dia","semana"),IF(LOWER(L11)="d","dias","semanas"))
)
)
)</f>
        <v/>
      </c>
      <c r="P11" t="inlineStr">
        <is>
          <t>A01</t>
        </is>
      </c>
      <c r="Q11" t="inlineStr">
        <is>
          <t>A01O07</t>
        </is>
      </c>
      <c r="R11" t="inlineStr">
        <is>
          <t>Orar com minha família regularmente</t>
        </is>
      </c>
      <c r="S11" t="n">
        <v>0.125</v>
      </c>
    </row>
    <row r="12">
      <c r="A12" s="2" t="inlineStr">
        <is>
          <t>Família</t>
        </is>
      </c>
      <c r="B12" s="2" t="inlineStr">
        <is>
          <t>Desafio</t>
        </is>
      </c>
      <c r="C12" s="2" t="inlineStr">
        <is>
          <t>Preparar uma refeição simples para a família.</t>
        </is>
      </c>
      <c r="D12" s="9" t="n">
        <v>1</v>
      </c>
      <c r="E12" s="9" t="n">
        <v>2</v>
      </c>
      <c r="F12" s="9" t="n">
        <v>1</v>
      </c>
      <c r="G12" s="20" t="n">
        <v>1</v>
      </c>
      <c r="H12" s="20" t="inlineStr">
        <is>
          <t>d</t>
        </is>
      </c>
      <c r="I12" s="20" t="n"/>
      <c r="J12" s="20" t="n"/>
      <c r="K12" s="20" t="n">
        <v>1</v>
      </c>
      <c r="L12" s="20" t="inlineStr">
        <is>
          <t>d</t>
        </is>
      </c>
      <c r="M12" s="9" t="inlineStr">
        <is>
          <t>FaD001-2d7d</t>
        </is>
      </c>
      <c r="N12" s="9">
        <f>IF(B12="Básico",1,IF(B12="Desafio",2,IF(B12="Avançado",3)))</f>
        <v/>
      </c>
      <c r="O12" s="2">
        <f>IF(
AND(G12="",H12="",I12="",J12="",K12="",L12=""),
"Fique atento para a primeira oportunidade que surgir",
IF(AND(G12=0,LOWER(H12)="d",K12=0,LOWER(L12)="d"),
"Fique atento para a primeira oportunidade que surgir",
IF(AND(G12=1,LOWER(H12)="d",K12=1,LOWER(L12)="d"),
"Pelo menos uma vez",
IF(G12=0,"O dia inteiro",IF(G12=1,"Uma vez",TEXT(G12,"0")&amp;" vezes")&amp;" por "&amp;IF(LOWER(H12)="d","dia","semana"))
&amp;IF(AND(ISNUMBER(I12),I12&gt;0),", a cada "&amp;TEXT(I12,"0")&amp;" "&amp;IF(I12=1,IF(LOWER(J12)="d","dia","semana"),IF(LOWER(J12)="d","dias","semanas"))&amp;",","")
&amp;" por um período de "&amp;TEXT(K12,"0")&amp;" "&amp;IF(K12=1,IF(LOWER(L12)="d","dia","semana"),IF(LOWER(L12)="d","dias","semanas"))
)
)
)</f>
        <v/>
      </c>
      <c r="P12" t="inlineStr">
        <is>
          <t>A01</t>
        </is>
      </c>
      <c r="Q12" t="inlineStr">
        <is>
          <t>A01O07</t>
        </is>
      </c>
      <c r="R12" t="inlineStr">
        <is>
          <t>Orar com minha família regularmente</t>
        </is>
      </c>
      <c r="S12" t="n">
        <v>0.143</v>
      </c>
    </row>
    <row r="13">
      <c r="A13" s="2" t="inlineStr">
        <is>
          <t>Família</t>
        </is>
      </c>
      <c r="B13" s="2" t="inlineStr">
        <is>
          <t>Desafio</t>
        </is>
      </c>
      <c r="C13" s="2" t="inlineStr">
        <is>
          <t>Fazer um planejamento de tarefas domésticas para a semana.</t>
        </is>
      </c>
      <c r="D13" s="9" t="n">
        <v>1</v>
      </c>
      <c r="E13" s="9" t="n">
        <v>2</v>
      </c>
      <c r="F13" s="9" t="n">
        <v>2</v>
      </c>
      <c r="G13" s="20" t="n">
        <v>1</v>
      </c>
      <c r="H13" s="20" t="inlineStr">
        <is>
          <t>s</t>
        </is>
      </c>
      <c r="I13" s="20" t="n"/>
      <c r="J13" s="20" t="n"/>
      <c r="K13" s="20" t="n">
        <v>2</v>
      </c>
      <c r="L13" s="20" t="inlineStr">
        <is>
          <t>s</t>
        </is>
      </c>
      <c r="M13" s="9" t="inlineStr">
        <is>
          <t>FaD002-2d7d</t>
        </is>
      </c>
      <c r="N13" s="9">
        <f>IF(B13="Básico",1,IF(B13="Desafio",2,IF(B13="Avançado",3)))</f>
        <v/>
      </c>
      <c r="O13" s="2">
        <f>IF(
AND(G13="",H13="",I13="",J13="",K13="",L13=""),
"Fique atento para a primeira oportunidade que surgir",
IF(AND(G13=0,LOWER(H13)="d",K13=0,LOWER(L13)="d"),
"Fique atento para a primeira oportunidade que surgir",
IF(AND(G13=1,LOWER(H13)="d",K13=1,LOWER(L13)="d"),
"Pelo menos uma vez",
IF(G13=0,"O dia inteiro",IF(G13=1,"Uma vez",TEXT(G13,"0")&amp;" vezes")&amp;" por "&amp;IF(LOWER(H13)="d","dia","semana"))
&amp;IF(AND(ISNUMBER(I13),I13&gt;0),", a cada "&amp;TEXT(I13,"0")&amp;" "&amp;IF(I13=1,IF(LOWER(J13)="d","dia","semana"),IF(LOWER(J13)="d","dias","semanas"))&amp;",","")
&amp;" por um período de "&amp;TEXT(K13,"0")&amp;" "&amp;IF(K13=1,IF(LOWER(L13)="d","dia","semana"),IF(LOWER(L13)="d","dias","semanas"))
)
)
)</f>
        <v/>
      </c>
      <c r="P13" t="inlineStr">
        <is>
          <t>A01</t>
        </is>
      </c>
      <c r="Q13" t="inlineStr">
        <is>
          <t>A01O02</t>
        </is>
      </c>
      <c r="R13" t="inlineStr">
        <is>
          <t>Ajudar nas tarefas de casa com regularidade</t>
        </is>
      </c>
      <c r="S13" t="n">
        <v>0.125</v>
      </c>
    </row>
    <row r="14">
      <c r="A14" s="2" t="inlineStr">
        <is>
          <t>Família</t>
        </is>
      </c>
      <c r="B14" s="2" t="inlineStr">
        <is>
          <t>Desafio</t>
        </is>
      </c>
      <c r="C14" s="2" t="inlineStr">
        <is>
          <t>Conversar sobre como você pode colaborar com as finanças familiares com responsabilidade.</t>
        </is>
      </c>
      <c r="D14" s="9" t="n">
        <v>1</v>
      </c>
      <c r="E14" s="9" t="n">
        <v>2</v>
      </c>
      <c r="F14" s="9" t="n">
        <v>3</v>
      </c>
      <c r="G14" s="20" t="n">
        <v>1</v>
      </c>
      <c r="H14" s="20" t="inlineStr">
        <is>
          <t>s</t>
        </is>
      </c>
      <c r="I14" s="20" t="n"/>
      <c r="J14" s="20" t="n"/>
      <c r="K14" s="20" t="n">
        <v>1</v>
      </c>
      <c r="L14" s="20" t="inlineStr">
        <is>
          <t>s</t>
        </is>
      </c>
      <c r="M14" s="9" t="inlineStr">
        <is>
          <t>FaD003-2d7d</t>
        </is>
      </c>
      <c r="N14" s="9">
        <f>IF(B14="Básico",1,IF(B14="Desafio",2,IF(B14="Avançado",3)))</f>
        <v/>
      </c>
      <c r="O14" s="2">
        <f>IF(
AND(G14="",H14="",I14="",J14="",K14="",L14=""),
"Fique atento para a primeira oportunidade que surgir",
IF(AND(G14=0,LOWER(H14)="d",K14=0,LOWER(L14)="d"),
"Fique atento para a primeira oportunidade que surgir",
IF(AND(G14=1,LOWER(H14)="d",K14=1,LOWER(L14)="d"),
"Pelo menos uma vez",
IF(G14=0,"O dia inteiro",IF(G14=1,"Uma vez",TEXT(G14,"0")&amp;" vezes")&amp;" por "&amp;IF(LOWER(H14)="d","dia","semana"))
&amp;IF(AND(ISNUMBER(I14),I14&gt;0),", a cada "&amp;TEXT(I14,"0")&amp;" "&amp;IF(I14=1,IF(LOWER(J14)="d","dia","semana"),IF(LOWER(J14)="d","dias","semanas"))&amp;",","")
&amp;" por um período de "&amp;TEXT(K14,"0")&amp;" "&amp;IF(K14=1,IF(LOWER(L14)="d","dia","semana"),IF(LOWER(L14)="d","dias","semanas"))
)
)
)</f>
        <v/>
      </c>
      <c r="P14" t="inlineStr">
        <is>
          <t>A01</t>
        </is>
      </c>
      <c r="Q14" t="inlineStr">
        <is>
          <t>A01O01</t>
        </is>
      </c>
      <c r="R14" t="inlineStr">
        <is>
          <t>Melhorar a comunicação com meus pais</t>
        </is>
      </c>
      <c r="S14" t="n">
        <v>0</v>
      </c>
    </row>
    <row r="15">
      <c r="A15" s="2" t="inlineStr">
        <is>
          <t>Família</t>
        </is>
      </c>
      <c r="B15" s="2" t="inlineStr">
        <is>
          <t>Desafio</t>
        </is>
      </c>
      <c r="C15" s="2" t="inlineStr">
        <is>
          <t>Acompanhar um familiar em um compromisso importante.</t>
        </is>
      </c>
      <c r="D15" s="9" t="n">
        <v>1</v>
      </c>
      <c r="E15" s="9" t="n">
        <v>2</v>
      </c>
      <c r="F15" s="9" t="n">
        <v>4</v>
      </c>
      <c r="G15" s="20" t="n">
        <v>1</v>
      </c>
      <c r="H15" s="20" t="inlineStr">
        <is>
          <t>d</t>
        </is>
      </c>
      <c r="I15" s="20" t="n"/>
      <c r="J15" s="20" t="n"/>
      <c r="K15" s="20" t="n">
        <v>2</v>
      </c>
      <c r="L15" s="20" t="inlineStr">
        <is>
          <t>d</t>
        </is>
      </c>
      <c r="M15" s="9" t="inlineStr">
        <is>
          <t>FaD004-2d7d</t>
        </is>
      </c>
      <c r="N15" s="9">
        <f>IF(B15="Básico",1,IF(B15="Desafio",2,IF(B15="Avançado",3)))</f>
        <v/>
      </c>
      <c r="O15" s="2">
        <f>IF(
AND(G15="",H15="",I15="",J15="",K15="",L15=""),
"Fique atento para a primeira oportunidade que surgir",
IF(AND(G15=0,LOWER(H15)="d",K15=0,LOWER(L15)="d"),
"Fique atento para a primeira oportunidade que surgir",
IF(AND(G15=1,LOWER(H15)="d",K15=1,LOWER(L15)="d"),
"Pelo menos uma vez",
IF(G15=0,"O dia inteiro",IF(G15=1,"Uma vez",TEXT(G15,"0")&amp;" vezes")&amp;" por "&amp;IF(LOWER(H15)="d","dia","semana"))
&amp;IF(AND(ISNUMBER(I15),I15&gt;0),", a cada "&amp;TEXT(I15,"0")&amp;" "&amp;IF(I15=1,IF(LOWER(J15)="d","dia","semana"),IF(LOWER(J15)="d","dias","semanas"))&amp;",","")
&amp;" por um período de "&amp;TEXT(K15,"0")&amp;" "&amp;IF(K15=1,IF(LOWER(L15)="d","dia","semana"),IF(LOWER(L15)="d","dias","semanas"))
)
)
)</f>
        <v/>
      </c>
      <c r="P15" t="inlineStr">
        <is>
          <t>A01</t>
        </is>
      </c>
      <c r="Q15" t="inlineStr">
        <is>
          <t>A01O01</t>
        </is>
      </c>
      <c r="R15" t="inlineStr">
        <is>
          <t>Melhorar a comunicação com meus pais</t>
        </is>
      </c>
      <c r="S15" t="n">
        <v>0</v>
      </c>
    </row>
    <row r="16">
      <c r="A16" s="2" t="inlineStr">
        <is>
          <t>Família</t>
        </is>
      </c>
      <c r="B16" s="2" t="inlineStr">
        <is>
          <t>Desafio</t>
        </is>
      </c>
      <c r="C16" s="2" t="inlineStr">
        <is>
          <t>Escrever uma carta/mensagem de gratidão para um membro da família.</t>
        </is>
      </c>
      <c r="D16" s="9" t="n">
        <v>1</v>
      </c>
      <c r="E16" s="9" t="n">
        <v>2</v>
      </c>
      <c r="F16" s="9" t="n">
        <v>5</v>
      </c>
      <c r="G16" s="20" t="n">
        <v>1</v>
      </c>
      <c r="H16" s="20" t="inlineStr">
        <is>
          <t>d</t>
        </is>
      </c>
      <c r="I16" s="20" t="n"/>
      <c r="J16" s="20" t="n"/>
      <c r="K16" s="20" t="n">
        <v>1</v>
      </c>
      <c r="L16" s="20" t="inlineStr">
        <is>
          <t>s</t>
        </is>
      </c>
      <c r="M16" s="9" t="inlineStr">
        <is>
          <t>FaD005-2d7d</t>
        </is>
      </c>
      <c r="N16" s="9">
        <f>IF(B16="Básico",1,IF(B16="Desafio",2,IF(B16="Avançado",3)))</f>
        <v/>
      </c>
      <c r="O16" s="2">
        <f>IF(
AND(G16="",H16="",I16="",J16="",K16="",L16=""),
"Fique atento para a primeira oportunidade que surgir",
IF(AND(G16=0,LOWER(H16)="d",K16=0,LOWER(L16)="d"),
"Fique atento para a primeira oportunidade que surgir",
IF(AND(G16=1,LOWER(H16)="d",K16=1,LOWER(L16)="d"),
"Pelo menos uma vez",
IF(G16=0,"O dia inteiro",IF(G16=1,"Uma vez",TEXT(G16,"0")&amp;" vezes")&amp;" por "&amp;IF(LOWER(H16)="d","dia","semana"))
&amp;IF(AND(ISNUMBER(I16),I16&gt;0),", a cada "&amp;TEXT(I16,"0")&amp;" "&amp;IF(I16=1,IF(LOWER(J16)="d","dia","semana"),IF(LOWER(J16)="d","dias","semanas"))&amp;",","")
&amp;" por um período de "&amp;TEXT(K16,"0")&amp;" "&amp;IF(K16=1,IF(LOWER(L16)="d","dia","semana"),IF(LOWER(L16)="d","dias","semanas"))
)
)
)</f>
        <v/>
      </c>
      <c r="P16" t="inlineStr">
        <is>
          <t>A01</t>
        </is>
      </c>
      <c r="Q16" t="inlineStr">
        <is>
          <t>A01O07</t>
        </is>
      </c>
      <c r="R16" t="inlineStr">
        <is>
          <t>Orar com minha família regularmente</t>
        </is>
      </c>
      <c r="S16" t="n">
        <v>0.111</v>
      </c>
    </row>
    <row r="17">
      <c r="A17" s="2" t="inlineStr">
        <is>
          <t>Família</t>
        </is>
      </c>
      <c r="B17" s="2" t="inlineStr">
        <is>
          <t>Desafio</t>
        </is>
      </c>
      <c r="C17" s="2" t="inlineStr">
        <is>
          <t>Medir e reduzir meu tempo de tela durante o tempo em que estiver com a família.</t>
        </is>
      </c>
      <c r="D17" s="9" t="n">
        <v>1</v>
      </c>
      <c r="E17" s="9" t="n">
        <v>2</v>
      </c>
      <c r="F17" s="9" t="n">
        <v>6</v>
      </c>
      <c r="G17" s="20" t="n">
        <v>1</v>
      </c>
      <c r="H17" s="20" t="inlineStr">
        <is>
          <t>d</t>
        </is>
      </c>
      <c r="I17" s="20" t="n"/>
      <c r="J17" s="20" t="n"/>
      <c r="K17" s="20" t="n">
        <v>7</v>
      </c>
      <c r="L17" s="20" t="inlineStr">
        <is>
          <t>d</t>
        </is>
      </c>
      <c r="M17" s="9" t="inlineStr">
        <is>
          <t>FaD006-2d7d</t>
        </is>
      </c>
      <c r="N17" s="9">
        <f>IF(B17="Básico",1,IF(B17="Desafio",2,IF(B17="Avançado",3)))</f>
        <v/>
      </c>
      <c r="O17" s="2">
        <f>IF(
AND(G17="",H17="",I17="",J17="",K17="",L17=""),
"Fique atento para a primeira oportunidade que surgir",
IF(AND(G17=0,LOWER(H17)="d",K17=0,LOWER(L17)="d"),
"Fique atento para a primeira oportunidade que surgir",
IF(AND(G17=1,LOWER(H17)="d",K17=1,LOWER(L17)="d"),
"Pelo menos uma vez",
IF(G17=0,"O dia inteiro",IF(G17=1,"Uma vez",TEXT(G17,"0")&amp;" vezes")&amp;" por "&amp;IF(LOWER(H17)="d","dia","semana"))
&amp;IF(AND(ISNUMBER(I17),I17&gt;0),", a cada "&amp;TEXT(I17,"0")&amp;" "&amp;IF(I17=1,IF(LOWER(J17)="d","dia","semana"),IF(LOWER(J17)="d","dias","semanas"))&amp;",","")
&amp;" por um período de "&amp;TEXT(K17,"0")&amp;" "&amp;IF(K17=1,IF(LOWER(L17)="d","dia","semana"),IF(LOWER(L17)="d","dias","semanas"))
)
)
)</f>
        <v/>
      </c>
      <c r="P17" t="inlineStr">
        <is>
          <t>A01</t>
        </is>
      </c>
      <c r="Q17" t="inlineStr">
        <is>
          <t>A01O03</t>
        </is>
      </c>
      <c r="R17" t="inlineStr">
        <is>
          <t>Passar tempo de qualidade com minha família</t>
        </is>
      </c>
      <c r="S17" t="n">
        <v>0.182</v>
      </c>
    </row>
    <row r="18">
      <c r="A18" s="2" t="inlineStr">
        <is>
          <t>Família</t>
        </is>
      </c>
      <c r="B18" s="2" t="inlineStr">
        <is>
          <t>Desafio</t>
        </is>
      </c>
      <c r="C18" s="2" t="inlineStr">
        <is>
          <t>Organizar um momento devocional familiar curto.</t>
        </is>
      </c>
      <c r="D18" s="9" t="n">
        <v>1</v>
      </c>
      <c r="E18" s="9" t="n">
        <v>2</v>
      </c>
      <c r="F18" s="9" t="n">
        <v>7</v>
      </c>
      <c r="G18" s="20" t="n">
        <v>1</v>
      </c>
      <c r="H18" s="20" t="inlineStr">
        <is>
          <t>d</t>
        </is>
      </c>
      <c r="I18" s="20" t="n">
        <v>3</v>
      </c>
      <c r="J18" s="20" t="inlineStr">
        <is>
          <t>d</t>
        </is>
      </c>
      <c r="K18" s="20" t="n">
        <v>2</v>
      </c>
      <c r="L18" s="20" t="inlineStr">
        <is>
          <t>s</t>
        </is>
      </c>
      <c r="M18" s="9" t="inlineStr">
        <is>
          <t>FaD007-2d7d</t>
        </is>
      </c>
      <c r="N18" s="9">
        <f>IF(B18="Básico",1,IF(B18="Desafio",2,IF(B18="Avançado",3)))</f>
        <v/>
      </c>
      <c r="O18" s="2">
        <f>IF(
AND(G18="",H18="",I18="",J18="",K18="",L18=""),
"Fique atento para a primeira oportunidade que surgir",
IF(AND(G18=0,LOWER(H18)="d",K18=0,LOWER(L18)="d"),
"Fique atento para a primeira oportunidade que surgir",
IF(AND(G18=1,LOWER(H18)="d",K18=1,LOWER(L18)="d"),
"Pelo menos uma vez",
IF(G18=0,"O dia inteiro",IF(G18=1,"Uma vez",TEXT(G18,"0")&amp;" vezes")&amp;" por "&amp;IF(LOWER(H18)="d","dia","semana"))
&amp;IF(AND(ISNUMBER(I18),I18&gt;0),", a cada "&amp;TEXT(I18,"0")&amp;" "&amp;IF(I18=1,IF(LOWER(J18)="d","dia","semana"),IF(LOWER(J18)="d","dias","semanas"))&amp;",","")
&amp;" por um período de "&amp;TEXT(K18,"0")&amp;" "&amp;IF(K18=1,IF(LOWER(L18)="d","dia","semana"),IF(LOWER(L18)="d","dias","semanas"))
)
)
)</f>
        <v/>
      </c>
      <c r="P18" t="inlineStr">
        <is>
          <t>A01</t>
        </is>
      </c>
      <c r="Q18" t="inlineStr">
        <is>
          <t>A01O01</t>
        </is>
      </c>
      <c r="R18" t="inlineStr">
        <is>
          <t>Melhorar a comunicação com meus pais</t>
        </is>
      </c>
      <c r="S18" t="n">
        <v>0</v>
      </c>
    </row>
    <row r="19">
      <c r="A19" s="2" t="inlineStr">
        <is>
          <t>Família</t>
        </is>
      </c>
      <c r="B19" s="2" t="inlineStr">
        <is>
          <t>Desafio</t>
        </is>
      </c>
      <c r="C19" s="2" t="inlineStr">
        <is>
          <t>Resolver um pequeno conflito propondo um acordo justo.</t>
        </is>
      </c>
      <c r="D19" s="9" t="n">
        <v>1</v>
      </c>
      <c r="E19" s="9" t="n">
        <v>2</v>
      </c>
      <c r="F19" s="9" t="n">
        <v>8</v>
      </c>
      <c r="G19" s="20" t="n">
        <v>1</v>
      </c>
      <c r="H19" s="20" t="inlineStr">
        <is>
          <t>d</t>
        </is>
      </c>
      <c r="I19" s="20" t="n"/>
      <c r="J19" s="20" t="n"/>
      <c r="K19" s="20" t="n">
        <v>1</v>
      </c>
      <c r="L19" s="20" t="inlineStr">
        <is>
          <t>d</t>
        </is>
      </c>
      <c r="M19" s="9" t="inlineStr">
        <is>
          <t>FaD008-2d7d</t>
        </is>
      </c>
      <c r="N19" s="9">
        <f>IF(B19="Básico",1,IF(B19="Desafio",2,IF(B19="Avançado",3)))</f>
        <v/>
      </c>
      <c r="O19" s="2">
        <f>IF(
AND(G19="",H19="",I19="",J19="",K19="",L19=""),
"Fique atento para a primeira oportunidade que surgir",
IF(AND(G19=0,LOWER(H19)="d",K19=0,LOWER(L19)="d"),
"Fique atento para a primeira oportunidade que surgir",
IF(AND(G19=1,LOWER(H19)="d",K19=1,LOWER(L19)="d"),
"Pelo menos uma vez",
IF(G19=0,"O dia inteiro",IF(G19=1,"Uma vez",TEXT(G19,"0")&amp;" vezes")&amp;" por "&amp;IF(LOWER(H19)="d","dia","semana"))
&amp;IF(AND(ISNUMBER(I19),I19&gt;0),", a cada "&amp;TEXT(I19,"0")&amp;" "&amp;IF(I19=1,IF(LOWER(J19)="d","dia","semana"),IF(LOWER(J19)="d","dias","semanas"))&amp;",","")
&amp;" por um período de "&amp;TEXT(K19,"0")&amp;" "&amp;IF(K19=1,IF(LOWER(L19)="d","dia","semana"),IF(LOWER(L19)="d","dias","semanas"))
)
)
)</f>
        <v/>
      </c>
      <c r="P19" t="inlineStr">
        <is>
          <t>A01</t>
        </is>
      </c>
      <c r="Q19" t="inlineStr">
        <is>
          <t>A01O01</t>
        </is>
      </c>
      <c r="R19" t="inlineStr">
        <is>
          <t>Melhorar a comunicação com meus pais</t>
        </is>
      </c>
      <c r="S19" t="n">
        <v>0</v>
      </c>
    </row>
    <row r="20">
      <c r="A20" s="2" t="inlineStr">
        <is>
          <t>Família</t>
        </is>
      </c>
      <c r="B20" s="2" t="inlineStr">
        <is>
          <t>Desafio</t>
        </is>
      </c>
      <c r="C20" s="2" t="inlineStr">
        <is>
          <t>Escanear/organizar fotos antigas da família e compartilhar.</t>
        </is>
      </c>
      <c r="D20" s="9" t="n">
        <v>1</v>
      </c>
      <c r="E20" s="9" t="n">
        <v>2</v>
      </c>
      <c r="F20" s="9" t="n">
        <v>9</v>
      </c>
      <c r="G20" s="20" t="n">
        <v>1</v>
      </c>
      <c r="H20" s="20" t="inlineStr">
        <is>
          <t>d</t>
        </is>
      </c>
      <c r="I20" s="20" t="n"/>
      <c r="J20" s="20" t="n"/>
      <c r="K20" s="20" t="n">
        <v>7</v>
      </c>
      <c r="L20" s="20" t="inlineStr">
        <is>
          <t>d</t>
        </is>
      </c>
      <c r="M20" s="9" t="inlineStr">
        <is>
          <t>FaD009-2d7d</t>
        </is>
      </c>
      <c r="N20" s="9">
        <f>IF(B20="Básico",1,IF(B20="Desafio",2,IF(B20="Avançado",3)))</f>
        <v/>
      </c>
      <c r="O20" s="2">
        <f>IF(
AND(G20="",H20="",I20="",J20="",K20="",L20=""),
"Fique atento para a primeira oportunidade que surgir",
IF(AND(G20=0,LOWER(H20)="d",K20=0,LOWER(L20)="d"),
"Fique atento para a primeira oportunidade que surgir",
IF(AND(G20=1,LOWER(H20)="d",K20=1,LOWER(L20)="d"),
"Pelo menos uma vez",
IF(G20=0,"O dia inteiro",IF(G20=1,"Uma vez",TEXT(G20,"0")&amp;" vezes")&amp;" por "&amp;IF(LOWER(H20)="d","dia","semana"))
&amp;IF(AND(ISNUMBER(I20),I20&gt;0),", a cada "&amp;TEXT(I20,"0")&amp;" "&amp;IF(I20=1,IF(LOWER(J20)="d","dia","semana"),IF(LOWER(J20)="d","dias","semanas"))&amp;",","")
&amp;" por um período de "&amp;TEXT(K20,"0")&amp;" "&amp;IF(K20=1,IF(LOWER(L20)="d","dia","semana"),IF(LOWER(L20)="d","dias","semanas"))
)
)
)</f>
        <v/>
      </c>
      <c r="P20" t="inlineStr">
        <is>
          <t>A01</t>
        </is>
      </c>
      <c r="Q20" t="inlineStr">
        <is>
          <t>A01O07</t>
        </is>
      </c>
      <c r="R20" t="inlineStr">
        <is>
          <t>Orar com minha família regularmente</t>
        </is>
      </c>
      <c r="S20" t="n">
        <v>0.111</v>
      </c>
    </row>
    <row r="21">
      <c r="A21" s="2" t="inlineStr">
        <is>
          <t>Família</t>
        </is>
      </c>
      <c r="B21" s="2" t="inlineStr">
        <is>
          <t>Desafio</t>
        </is>
      </c>
      <c r="C21" s="2" t="inlineStr">
        <is>
          <t>Criar um calendário de aniversários e datas especiais da família.</t>
        </is>
      </c>
      <c r="D21" s="9" t="n">
        <v>1</v>
      </c>
      <c r="E21" s="9" t="n">
        <v>2</v>
      </c>
      <c r="F21" s="9" t="n">
        <v>10</v>
      </c>
      <c r="G21" s="20" t="n">
        <v>1</v>
      </c>
      <c r="H21" s="20" t="inlineStr">
        <is>
          <t>d</t>
        </is>
      </c>
      <c r="I21" s="20" t="n"/>
      <c r="J21" s="20" t="n"/>
      <c r="K21" s="20" t="n">
        <v>1</v>
      </c>
      <c r="L21" s="20" t="inlineStr">
        <is>
          <t>d</t>
        </is>
      </c>
      <c r="M21" s="9" t="inlineStr">
        <is>
          <t>FaD010-2d7d</t>
        </is>
      </c>
      <c r="N21" s="9">
        <f>IF(B21="Básico",1,IF(B21="Desafio",2,IF(B21="Avançado",3)))</f>
        <v/>
      </c>
      <c r="O21" s="2">
        <f>IF(
AND(G21="",H21="",I21="",J21="",K21="",L21=""),
"Fique atento para a primeira oportunidade que surgir",
IF(AND(G21=0,LOWER(H21)="d",K21=0,LOWER(L21)="d"),
"Fique atento para a primeira oportunidade que surgir",
IF(AND(G21=1,LOWER(H21)="d",K21=1,LOWER(L21)="d"),
"Pelo menos uma vez",
IF(G21=0,"O dia inteiro",IF(G21=1,"Uma vez",TEXT(G21,"0")&amp;" vezes")&amp;" por "&amp;IF(LOWER(H21)="d","dia","semana"))
&amp;IF(AND(ISNUMBER(I21),I21&gt;0),", a cada "&amp;TEXT(I21,"0")&amp;" "&amp;IF(I21=1,IF(LOWER(J21)="d","dia","semana"),IF(LOWER(J21)="d","dias","semanas"))&amp;",","")
&amp;" por um período de "&amp;TEXT(K21,"0")&amp;" "&amp;IF(K21=1,IF(LOWER(L21)="d","dia","semana"),IF(LOWER(L21)="d","dias","semanas"))
)
)
)</f>
        <v/>
      </c>
      <c r="P21" t="inlineStr">
        <is>
          <t>A01</t>
        </is>
      </c>
      <c r="Q21" t="inlineStr">
        <is>
          <t>A01O07</t>
        </is>
      </c>
      <c r="R21" t="inlineStr">
        <is>
          <t>Orar com minha família regularmente</t>
        </is>
      </c>
      <c r="S21" t="n">
        <v>0.111</v>
      </c>
    </row>
    <row r="22">
      <c r="A22" s="2" t="inlineStr">
        <is>
          <t>Família</t>
        </is>
      </c>
      <c r="B22" s="2" t="inlineStr">
        <is>
          <t>Desafio</t>
        </is>
      </c>
      <c r="C22" s="2" t="inlineStr">
        <is>
          <t>Cuidar de um animal de estimação ou planta da casa.</t>
        </is>
      </c>
      <c r="D22" s="9" t="n">
        <v>1</v>
      </c>
      <c r="E22" s="9" t="n">
        <v>2</v>
      </c>
      <c r="F22" s="9" t="n">
        <v>11</v>
      </c>
      <c r="G22" s="20" t="n">
        <v>1</v>
      </c>
      <c r="H22" s="20" t="inlineStr">
        <is>
          <t>d</t>
        </is>
      </c>
      <c r="I22" s="20" t="n">
        <v>1</v>
      </c>
      <c r="J22" s="20" t="inlineStr">
        <is>
          <t>d</t>
        </is>
      </c>
      <c r="K22" s="20" t="n">
        <v>7</v>
      </c>
      <c r="L22" s="20" t="inlineStr">
        <is>
          <t>d</t>
        </is>
      </c>
      <c r="M22" s="9" t="inlineStr">
        <is>
          <t>FaD011-2d7d</t>
        </is>
      </c>
      <c r="N22" s="9">
        <f>IF(B22="Básico",1,IF(B22="Desafio",2,IF(B22="Avançado",3)))</f>
        <v/>
      </c>
      <c r="O22" s="2">
        <f>IF(
AND(G22="",H22="",I22="",J22="",K22="",L22=""),
"Fique atento para a primeira oportunidade que surgir",
IF(AND(G22=0,LOWER(H22)="d",K22=0,LOWER(L22)="d"),
"Fique atento para a primeira oportunidade que surgir",
IF(AND(G22=1,LOWER(H22)="d",K22=1,LOWER(L22)="d"),
"Pelo menos uma vez",
IF(G22=0,"O dia inteiro",IF(G22=1,"Uma vez",TEXT(G22,"0")&amp;" vezes")&amp;" por "&amp;IF(LOWER(H22)="d","dia","semana"))
&amp;IF(AND(ISNUMBER(I22),I22&gt;0),", a cada "&amp;TEXT(I22,"0")&amp;" "&amp;IF(I22=1,IF(LOWER(J22)="d","dia","semana"),IF(LOWER(J22)="d","dias","semanas"))&amp;",","")
&amp;" por um período de "&amp;TEXT(K22,"0")&amp;" "&amp;IF(K22=1,IF(LOWER(L22)="d","dia","semana"),IF(LOWER(L22)="d","dias","semanas"))
)
)
)</f>
        <v/>
      </c>
      <c r="P22" t="inlineStr">
        <is>
          <t>A01</t>
        </is>
      </c>
      <c r="Q22" t="inlineStr">
        <is>
          <t>A01O02</t>
        </is>
      </c>
      <c r="R22" t="inlineStr">
        <is>
          <t>Ajudar nas tarefas de casa com regularidade</t>
        </is>
      </c>
      <c r="S22" t="n">
        <v>0.125</v>
      </c>
    </row>
    <row r="23">
      <c r="A23" s="2" t="inlineStr">
        <is>
          <t>Família</t>
        </is>
      </c>
      <c r="B23" s="2" t="inlineStr">
        <is>
          <t>Desafio</t>
        </is>
      </c>
      <c r="C23" s="2" t="inlineStr">
        <is>
          <t>Aprender e ensinar uma receita tradicional da família.</t>
        </is>
      </c>
      <c r="D23" s="9" t="n">
        <v>1</v>
      </c>
      <c r="E23" s="9" t="n">
        <v>2</v>
      </c>
      <c r="F23" s="9" t="n">
        <v>12</v>
      </c>
      <c r="G23" s="20" t="n">
        <v>1</v>
      </c>
      <c r="H23" s="20" t="inlineStr">
        <is>
          <t>d</t>
        </is>
      </c>
      <c r="I23" s="20" t="n"/>
      <c r="J23" s="20" t="n"/>
      <c r="K23" s="20" t="n">
        <v>7</v>
      </c>
      <c r="L23" s="20" t="inlineStr">
        <is>
          <t>d</t>
        </is>
      </c>
      <c r="M23" s="9" t="inlineStr">
        <is>
          <t>FaD012-2d7d</t>
        </is>
      </c>
      <c r="N23" s="9">
        <f>IF(B23="Básico",1,IF(B23="Desafio",2,IF(B23="Avançado",3)))</f>
        <v/>
      </c>
      <c r="O23" s="2">
        <f>IF(
AND(G23="",H23="",I23="",J23="",K23="",L23=""),
"Fique atento para a primeira oportunidade que surgir",
IF(AND(G23=0,LOWER(H23)="d",K23=0,LOWER(L23)="d"),
"Fique atento para a primeira oportunidade que surgir",
IF(AND(G23=1,LOWER(H23)="d",K23=1,LOWER(L23)="d"),
"Pelo menos uma vez",
IF(G23=0,"O dia inteiro",IF(G23=1,"Uma vez",TEXT(G23,"0")&amp;" vezes")&amp;" por "&amp;IF(LOWER(H23)="d","dia","semana"))
&amp;IF(AND(ISNUMBER(I23),I23&gt;0),", a cada "&amp;TEXT(I23,"0")&amp;" "&amp;IF(I23=1,IF(LOWER(J23)="d","dia","semana"),IF(LOWER(J23)="d","dias","semanas"))&amp;",","")
&amp;" por um período de "&amp;TEXT(K23,"0")&amp;" "&amp;IF(K23=1,IF(LOWER(L23)="d","dia","semana"),IF(LOWER(L23)="d","dias","semanas"))
)
)
)</f>
        <v/>
      </c>
      <c r="P23" t="inlineStr">
        <is>
          <t>A01</t>
        </is>
      </c>
      <c r="Q23" t="inlineStr">
        <is>
          <t>A01O07</t>
        </is>
      </c>
      <c r="R23" t="inlineStr">
        <is>
          <t>Orar com minha família regularmente</t>
        </is>
      </c>
      <c r="S23" t="n">
        <v>0.125</v>
      </c>
    </row>
    <row r="24">
      <c r="A24" s="2" t="inlineStr">
        <is>
          <t>Família</t>
        </is>
      </c>
      <c r="B24" s="2" t="inlineStr">
        <is>
          <t>Avançado</t>
        </is>
      </c>
      <c r="C24" s="2" t="inlineStr">
        <is>
          <t>Planejar e conduzir um culto familiar semanal de 30 minutos.</t>
        </is>
      </c>
      <c r="D24" s="9" t="n">
        <v>1</v>
      </c>
      <c r="E24" s="9" t="n">
        <v>3</v>
      </c>
      <c r="F24" s="9" t="n">
        <v>1</v>
      </c>
      <c r="G24" s="20" t="n">
        <v>1</v>
      </c>
      <c r="H24" s="20" t="inlineStr">
        <is>
          <t>s</t>
        </is>
      </c>
      <c r="I24" s="20" t="n"/>
      <c r="J24" s="20" t="n"/>
      <c r="K24" s="20" t="n">
        <v>2</v>
      </c>
      <c r="L24" s="20" t="inlineStr">
        <is>
          <t>s</t>
        </is>
      </c>
      <c r="M24" s="9" t="inlineStr">
        <is>
          <t>FaA001-1s2s</t>
        </is>
      </c>
      <c r="N24" s="9">
        <f>IF(B24="Básico",1,IF(B24="Desafio",2,IF(B24="Avançado",3)))</f>
        <v/>
      </c>
      <c r="O24" s="2">
        <f>IF(
AND(G24="",H24="",I24="",J24="",K24="",L24=""),
"Fique atento para a primeira oportunidade que surgir",
IF(AND(G24=0,LOWER(H24)="d",K24=0,LOWER(L24)="d"),
"Fique atento para a primeira oportunidade que surgir",
IF(AND(G24=1,LOWER(H24)="d",K24=1,LOWER(L24)="d"),
"Pelo menos uma vez",
IF(G24=0,"O dia inteiro",IF(G24=1,"Uma vez",TEXT(G24,"0")&amp;" vezes")&amp;" por "&amp;IF(LOWER(H24)="d","dia","semana"))
&amp;IF(AND(ISNUMBER(I24),I24&gt;0),", a cada "&amp;TEXT(I24,"0")&amp;" "&amp;IF(I24=1,IF(LOWER(J24)="d","dia","semana"),IF(LOWER(J24)="d","dias","semanas"))&amp;",","")
&amp;" por um período de "&amp;TEXT(K24,"0")&amp;" "&amp;IF(K24=1,IF(LOWER(L24)="d","dia","semana"),IF(LOWER(L24)="d","dias","semanas"))
)
)
)</f>
        <v/>
      </c>
      <c r="P24" t="inlineStr">
        <is>
          <t>A01</t>
        </is>
      </c>
      <c r="Q24" t="inlineStr">
        <is>
          <t>A01O01</t>
        </is>
      </c>
      <c r="R24" t="inlineStr">
        <is>
          <t>Melhorar a comunicação com meus pais</t>
        </is>
      </c>
      <c r="S24" t="n">
        <v>0</v>
      </c>
    </row>
    <row r="25">
      <c r="A25" s="2" t="inlineStr">
        <is>
          <t>Família</t>
        </is>
      </c>
      <c r="B25" s="2" t="inlineStr">
        <is>
          <t>Avançado</t>
        </is>
      </c>
      <c r="C25" s="2" t="inlineStr">
        <is>
          <t>Montar orçamento doméstico básico e acompanhar.</t>
        </is>
      </c>
      <c r="D25" s="9" t="n">
        <v>1</v>
      </c>
      <c r="E25" s="9" t="n">
        <v>3</v>
      </c>
      <c r="F25" s="9" t="n">
        <v>2</v>
      </c>
      <c r="G25" s="20" t="n">
        <v>1</v>
      </c>
      <c r="H25" s="20" t="inlineStr">
        <is>
          <t>s</t>
        </is>
      </c>
      <c r="I25" s="20" t="n"/>
      <c r="J25" s="20" t="n"/>
      <c r="K25" s="20" t="n">
        <v>4</v>
      </c>
      <c r="L25" s="20" t="inlineStr">
        <is>
          <t>s</t>
        </is>
      </c>
      <c r="M25" s="9" t="inlineStr">
        <is>
          <t>FaA002-1s2s</t>
        </is>
      </c>
      <c r="N25" s="9">
        <f>IF(B25="Básico",1,IF(B25="Desafio",2,IF(B25="Avançado",3)))</f>
        <v/>
      </c>
      <c r="O25" s="2">
        <f>IF(
AND(G25="",H25="",I25="",J25="",K25="",L25=""),
"Fique atento para a primeira oportunidade que surgir",
IF(AND(G25=0,LOWER(H25)="d",K25=0,LOWER(L25)="d"),
"Fique atento para a primeira oportunidade que surgir",
IF(AND(G25=1,LOWER(H25)="d",K25=1,LOWER(L25)="d"),
"Pelo menos uma vez",
IF(G25=0,"O dia inteiro",IF(G25=1,"Uma vez",TEXT(G25,"0")&amp;" vezes")&amp;" por "&amp;IF(LOWER(H25)="d","dia","semana"))
&amp;IF(AND(ISNUMBER(I25),I25&gt;0),", a cada "&amp;TEXT(I25,"0")&amp;" "&amp;IF(I25=1,IF(LOWER(J25)="d","dia","semana"),IF(LOWER(J25)="d","dias","semanas"))&amp;",","")
&amp;" por um período de "&amp;TEXT(K25,"0")&amp;" "&amp;IF(K25=1,IF(LOWER(L25)="d","dia","semana"),IF(LOWER(L25)="d","dias","semanas"))
)
)
)</f>
        <v/>
      </c>
      <c r="P25" t="inlineStr">
        <is>
          <t>A01</t>
        </is>
      </c>
      <c r="Q25" t="inlineStr">
        <is>
          <t>A01O01</t>
        </is>
      </c>
      <c r="R25" t="inlineStr">
        <is>
          <t>Melhorar a comunicação com meus pais</t>
        </is>
      </c>
      <c r="S25" t="n">
        <v>0</v>
      </c>
    </row>
    <row r="26">
      <c r="A26" s="2" t="inlineStr">
        <is>
          <t>Família</t>
        </is>
      </c>
      <c r="B26" s="2" t="inlineStr">
        <is>
          <t>Avançado</t>
        </is>
      </c>
      <c r="C26" s="2" t="inlineStr">
        <is>
          <t>Medir e reduzir discussões recorrentes com técnicas de mediação e reflexão</t>
        </is>
      </c>
      <c r="D26" s="9" t="n">
        <v>1</v>
      </c>
      <c r="E26" s="9" t="n">
        <v>3</v>
      </c>
      <c r="F26" s="9" t="n">
        <v>3</v>
      </c>
      <c r="G26" s="20" t="n">
        <v>1</v>
      </c>
      <c r="H26" s="20" t="inlineStr">
        <is>
          <t>s</t>
        </is>
      </c>
      <c r="I26" s="20" t="n"/>
      <c r="J26" s="20" t="n"/>
      <c r="K26" s="20" t="n">
        <v>2</v>
      </c>
      <c r="L26" s="20" t="inlineStr">
        <is>
          <t>s</t>
        </is>
      </c>
      <c r="M26" s="9" t="inlineStr">
        <is>
          <t>FaA003-1s2s</t>
        </is>
      </c>
      <c r="N26" s="9">
        <f>IF(B26="Básico",1,IF(B26="Desafio",2,IF(B26="Avançado",3)))</f>
        <v/>
      </c>
      <c r="O26" s="2">
        <f>IF(
AND(G26="",H26="",I26="",J26="",K26="",L26=""),
"Fique atento para a primeira oportunidade que surgir",
IF(AND(G26=0,LOWER(H26)="d",K26=0,LOWER(L26)="d"),
"Fique atento para a primeira oportunidade que surgir",
IF(AND(G26=1,LOWER(H26)="d",K26=1,LOWER(L26)="d"),
"Pelo menos uma vez",
IF(G26=0,"O dia inteiro",IF(G26=1,"Uma vez",TEXT(G26,"0")&amp;" vezes")&amp;" por "&amp;IF(LOWER(H26)="d","dia","semana"))
&amp;IF(AND(ISNUMBER(I26),I26&gt;0),", a cada "&amp;TEXT(I26,"0")&amp;" "&amp;IF(I26=1,IF(LOWER(J26)="d","dia","semana"),IF(LOWER(J26)="d","dias","semanas"))&amp;",","")
&amp;" por um período de "&amp;TEXT(K26,"0")&amp;" "&amp;IF(K26=1,IF(LOWER(L26)="d","dia","semana"),IF(LOWER(L26)="d","dias","semanas"))
)
)
)</f>
        <v/>
      </c>
      <c r="P26" t="inlineStr">
        <is>
          <t>A01</t>
        </is>
      </c>
      <c r="Q26" t="inlineStr">
        <is>
          <t>A01O06</t>
        </is>
      </c>
      <c r="R26" t="inlineStr">
        <is>
          <t>Evitar discussões desnecessárias</t>
        </is>
      </c>
      <c r="S26" t="n">
        <v>0.111</v>
      </c>
    </row>
    <row r="27">
      <c r="A27" s="2" t="inlineStr">
        <is>
          <t>Família</t>
        </is>
      </c>
      <c r="B27" s="2" t="inlineStr">
        <is>
          <t>Avançado</t>
        </is>
      </c>
      <c r="C27" s="2" t="inlineStr">
        <is>
          <t>Criar e executar um projeto familiar (horta, reforma, doação).</t>
        </is>
      </c>
      <c r="D27" s="9" t="n">
        <v>1</v>
      </c>
      <c r="E27" s="9" t="n">
        <v>3</v>
      </c>
      <c r="F27" s="9" t="n">
        <v>4</v>
      </c>
      <c r="G27" s="20" t="n">
        <v>1</v>
      </c>
      <c r="H27" s="20" t="inlineStr">
        <is>
          <t>s</t>
        </is>
      </c>
      <c r="I27" s="20" t="n"/>
      <c r="J27" s="20" t="n"/>
      <c r="K27" s="20" t="n">
        <v>4</v>
      </c>
      <c r="L27" s="20" t="inlineStr">
        <is>
          <t>s</t>
        </is>
      </c>
      <c r="M27" s="9" t="inlineStr">
        <is>
          <t>FaA004-1s2s</t>
        </is>
      </c>
      <c r="N27" s="9">
        <f>IF(B27="Básico",1,IF(B27="Desafio",2,IF(B27="Avançado",3)))</f>
        <v/>
      </c>
      <c r="O27" s="2">
        <f>IF(
AND(G27="",H27="",I27="",J27="",K27="",L27=""),
"Fique atento para a primeira oportunidade que surgir",
IF(AND(G27=0,LOWER(H27)="d",K27=0,LOWER(L27)="d"),
"Fique atento para a primeira oportunidade que surgir",
IF(AND(G27=1,LOWER(H27)="d",K27=1,LOWER(L27)="d"),
"Pelo menos uma vez",
IF(G27=0,"O dia inteiro",IF(G27=1,"Uma vez",TEXT(G27,"0")&amp;" vezes")&amp;" por "&amp;IF(LOWER(H27)="d","dia","semana"))
&amp;IF(AND(ISNUMBER(I27),I27&gt;0),", a cada "&amp;TEXT(I27,"0")&amp;" "&amp;IF(I27=1,IF(LOWER(J27)="d","dia","semana"),IF(LOWER(J27)="d","dias","semanas"))&amp;",","")
&amp;" por um período de "&amp;TEXT(K27,"0")&amp;" "&amp;IF(K27=1,IF(LOWER(L27)="d","dia","semana"),IF(LOWER(L27)="d","dias","semanas"))
)
)
)</f>
        <v/>
      </c>
      <c r="P27" t="inlineStr">
        <is>
          <t>A01</t>
        </is>
      </c>
      <c r="Q27" t="inlineStr">
        <is>
          <t>A01O01</t>
        </is>
      </c>
      <c r="R27" t="inlineStr">
        <is>
          <t>Melhorar a comunicação com meus pais</t>
        </is>
      </c>
      <c r="S27" t="n">
        <v>0</v>
      </c>
    </row>
    <row r="28">
      <c r="A28" s="2" t="inlineStr">
        <is>
          <t>Família</t>
        </is>
      </c>
      <c r="B28" s="2" t="inlineStr">
        <is>
          <t>Avançado</t>
        </is>
      </c>
      <c r="C28" s="2" t="inlineStr">
        <is>
          <t>Acompanhar um irmão/parentesco em rotina de estudos.</t>
        </is>
      </c>
      <c r="D28" s="9" t="n">
        <v>1</v>
      </c>
      <c r="E28" s="9" t="n">
        <v>3</v>
      </c>
      <c r="F28" s="9" t="n">
        <v>5</v>
      </c>
      <c r="G28" s="20" t="n">
        <v>1</v>
      </c>
      <c r="H28" s="20" t="inlineStr">
        <is>
          <t>s</t>
        </is>
      </c>
      <c r="I28" s="20" t="n"/>
      <c r="J28" s="20" t="n"/>
      <c r="K28" s="20" t="n">
        <v>3</v>
      </c>
      <c r="L28" s="20" t="inlineStr">
        <is>
          <t>s</t>
        </is>
      </c>
      <c r="M28" s="9" t="inlineStr">
        <is>
          <t>FaA005-1s2s</t>
        </is>
      </c>
      <c r="N28" s="9">
        <f>IF(B28="Básico",1,IF(B28="Desafio",2,IF(B28="Avançado",3)))</f>
        <v/>
      </c>
      <c r="O28" s="2">
        <f>IF(
AND(G28="",H28="",I28="",J28="",K28="",L28=""),
"Fique atento para a primeira oportunidade que surgir",
IF(AND(G28=0,LOWER(H28)="d",K28=0,LOWER(L28)="d"),
"Fique atento para a primeira oportunidade que surgir",
IF(AND(G28=1,LOWER(H28)="d",K28=1,LOWER(L28)="d"),
"Pelo menos uma vez",
IF(G28=0,"O dia inteiro",IF(G28=1,"Uma vez",TEXT(G28,"0")&amp;" vezes")&amp;" por "&amp;IF(LOWER(H28)="d","dia","semana"))
&amp;IF(AND(ISNUMBER(I28),I28&gt;0),", a cada "&amp;TEXT(I28,"0")&amp;" "&amp;IF(I28=1,IF(LOWER(J28)="d","dia","semana"),IF(LOWER(J28)="d","dias","semanas"))&amp;",","")
&amp;" por um período de "&amp;TEXT(K28,"0")&amp;" "&amp;IF(K28=1,IF(LOWER(L28)="d","dia","semana"),IF(LOWER(L28)="d","dias","semanas"))
)
)
)</f>
        <v/>
      </c>
      <c r="P28" t="inlineStr">
        <is>
          <t>A01</t>
        </is>
      </c>
      <c r="Q28" t="inlineStr">
        <is>
          <t>A01O04</t>
        </is>
      </c>
      <c r="R28" t="inlineStr">
        <is>
          <t>Ser mais paciente com meus irmãos ou parentes</t>
        </is>
      </c>
      <c r="S28" t="n">
        <v>0.111</v>
      </c>
    </row>
    <row r="29">
      <c r="A29" s="2" t="inlineStr">
        <is>
          <t>Família</t>
        </is>
      </c>
      <c r="B29" s="2" t="inlineStr">
        <is>
          <t>Avançado</t>
        </is>
      </c>
      <c r="C29" s="2" t="inlineStr">
        <is>
          <t>Desenvolver um manual de tarefas domésticas compartilhado.</t>
        </is>
      </c>
      <c r="D29" s="9" t="n">
        <v>1</v>
      </c>
      <c r="E29" s="9" t="n">
        <v>3</v>
      </c>
      <c r="F29" s="9" t="n">
        <v>6</v>
      </c>
      <c r="G29" s="20" t="n">
        <v>1</v>
      </c>
      <c r="H29" s="20" t="inlineStr">
        <is>
          <t>s</t>
        </is>
      </c>
      <c r="I29" s="20" t="n"/>
      <c r="J29" s="20" t="n"/>
      <c r="K29" s="20" t="n">
        <v>3</v>
      </c>
      <c r="L29" s="20" t="inlineStr">
        <is>
          <t>s</t>
        </is>
      </c>
      <c r="M29" s="9" t="inlineStr">
        <is>
          <t>FaA006-1s2s</t>
        </is>
      </c>
      <c r="N29" s="9">
        <f>IF(B29="Básico",1,IF(B29="Desafio",2,IF(B29="Avançado",3)))</f>
        <v/>
      </c>
      <c r="O29" s="2">
        <f>IF(
AND(G29="",H29="",I29="",J29="",K29="",L29=""),
"Fique atento para a primeira oportunidade que surgir",
IF(AND(G29=0,LOWER(H29)="d",K29=0,LOWER(L29)="d"),
"Fique atento para a primeira oportunidade que surgir",
IF(AND(G29=1,LOWER(H29)="d",K29=1,LOWER(L29)="d"),
"Pelo menos uma vez",
IF(G29=0,"O dia inteiro",IF(G29=1,"Uma vez",TEXT(G29,"0")&amp;" vezes")&amp;" por "&amp;IF(LOWER(H29)="d","dia","semana"))
&amp;IF(AND(ISNUMBER(I29),I29&gt;0),", a cada "&amp;TEXT(I29,"0")&amp;" "&amp;IF(I29=1,IF(LOWER(J29)="d","dia","semana"),IF(LOWER(J29)="d","dias","semanas"))&amp;",","")
&amp;" por um período de "&amp;TEXT(K29,"0")&amp;" "&amp;IF(K29=1,IF(LOWER(L29)="d","dia","semana"),IF(LOWER(L29)="d","dias","semanas"))
)
)
)</f>
        <v/>
      </c>
      <c r="P29" t="inlineStr">
        <is>
          <t>A01</t>
        </is>
      </c>
      <c r="Q29" t="inlineStr">
        <is>
          <t>A01O02</t>
        </is>
      </c>
      <c r="R29" t="inlineStr">
        <is>
          <t>Ajudar nas tarefas de casa com regularidade</t>
        </is>
      </c>
      <c r="S29" t="n">
        <v>0.125</v>
      </c>
    </row>
    <row r="30">
      <c r="A30" s="2" t="inlineStr">
        <is>
          <t>Família</t>
        </is>
      </c>
      <c r="B30" s="2" t="inlineStr">
        <is>
          <t>Avançado</t>
        </is>
      </c>
      <c r="C30" s="2" t="inlineStr">
        <is>
          <t>Promover um dia de reconciliação: pedir perdão e perdoar.</t>
        </is>
      </c>
      <c r="D30" s="9" t="n">
        <v>1</v>
      </c>
      <c r="E30" s="9" t="n">
        <v>3</v>
      </c>
      <c r="F30" s="9" t="n">
        <v>7</v>
      </c>
      <c r="G30" s="20" t="n">
        <v>1</v>
      </c>
      <c r="H30" s="20" t="inlineStr">
        <is>
          <t>s</t>
        </is>
      </c>
      <c r="I30" s="20" t="n"/>
      <c r="J30" s="20" t="n"/>
      <c r="K30" s="20" t="n">
        <v>1</v>
      </c>
      <c r="L30" s="20" t="inlineStr">
        <is>
          <t>s</t>
        </is>
      </c>
      <c r="M30" s="9" t="inlineStr">
        <is>
          <t>FaA007-1s2s</t>
        </is>
      </c>
      <c r="N30" s="9">
        <f>IF(B30="Básico",1,IF(B30="Desafio",2,IF(B30="Avançado",3)))</f>
        <v/>
      </c>
      <c r="O30" s="2">
        <f>IF(
AND(G30="",H30="",I30="",J30="",K30="",L30=""),
"Fique atento para a primeira oportunidade que surgir",
IF(AND(G30=0,LOWER(H30)="d",K30=0,LOWER(L30)="d"),
"Fique atento para a primeira oportunidade que surgir",
IF(AND(G30=1,LOWER(H30)="d",K30=1,LOWER(L30)="d"),
"Pelo menos uma vez",
IF(G30=0,"O dia inteiro",IF(G30=1,"Uma vez",TEXT(G30,"0")&amp;" vezes")&amp;" por "&amp;IF(LOWER(H30)="d","dia","semana"))
&amp;IF(AND(ISNUMBER(I30),I30&gt;0),", a cada "&amp;TEXT(I30,"0")&amp;" "&amp;IF(I30=1,IF(LOWER(J30)="d","dia","semana"),IF(LOWER(J30)="d","dias","semanas"))&amp;",","")
&amp;" por um período de "&amp;TEXT(K30,"0")&amp;" "&amp;IF(K30=1,IF(LOWER(L30)="d","dia","semana"),IF(LOWER(L30)="d","dias","semanas"))
)
)
)</f>
        <v/>
      </c>
      <c r="P30" t="inlineStr">
        <is>
          <t>A01</t>
        </is>
      </c>
      <c r="Q30" t="inlineStr">
        <is>
          <t>A01O01</t>
        </is>
      </c>
      <c r="R30" t="inlineStr">
        <is>
          <t>Melhorar a comunicação com meus pais</t>
        </is>
      </c>
      <c r="S30" t="n">
        <v>0</v>
      </c>
    </row>
    <row r="31">
      <c r="A31" s="2" t="inlineStr">
        <is>
          <t>Família</t>
        </is>
      </c>
      <c r="B31" s="2" t="inlineStr">
        <is>
          <t>Avançado</t>
        </is>
      </c>
      <c r="C31" s="2" t="inlineStr">
        <is>
          <t>Organizar um encontro de gerações e registrar histórias, com os pais e/ou avós..</t>
        </is>
      </c>
      <c r="D31" s="9" t="n">
        <v>1</v>
      </c>
      <c r="E31" s="9" t="n">
        <v>3</v>
      </c>
      <c r="F31" s="9" t="n">
        <v>8</v>
      </c>
      <c r="G31" s="20" t="n">
        <v>1</v>
      </c>
      <c r="H31" s="20" t="inlineStr">
        <is>
          <t>s</t>
        </is>
      </c>
      <c r="I31" s="20" t="n"/>
      <c r="J31" s="20" t="n"/>
      <c r="K31" s="20" t="n">
        <v>2</v>
      </c>
      <c r="L31" s="20" t="inlineStr">
        <is>
          <t>s</t>
        </is>
      </c>
      <c r="M31" s="9" t="inlineStr">
        <is>
          <t>FaA008-1s2s</t>
        </is>
      </c>
      <c r="N31" s="9">
        <f>IF(B31="Básico",1,IF(B31="Desafio",2,IF(B31="Avançado",3)))</f>
        <v/>
      </c>
      <c r="O31" s="2">
        <f>IF(
AND(G31="",H31="",I31="",J31="",K31="",L31=""),
"Fique atento para a primeira oportunidade que surgir",
IF(AND(G31=0,LOWER(H31)="d",K31=0,LOWER(L31)="d"),
"Fique atento para a primeira oportunidade que surgir",
IF(AND(G31=1,LOWER(H31)="d",K31=1,LOWER(L31)="d"),
"Pelo menos uma vez",
IF(G31=0,"O dia inteiro",IF(G31=1,"Uma vez",TEXT(G31,"0")&amp;" vezes")&amp;" por "&amp;IF(LOWER(H31)="d","dia","semana"))
&amp;IF(AND(ISNUMBER(I31),I31&gt;0),", a cada "&amp;TEXT(I31,"0")&amp;" "&amp;IF(I31=1,IF(LOWER(J31)="d","dia","semana"),IF(LOWER(J31)="d","dias","semanas"))&amp;",","")
&amp;" por um período de "&amp;TEXT(K31,"0")&amp;" "&amp;IF(K31=1,IF(LOWER(L31)="d","dia","semana"),IF(LOWER(L31)="d","dias","semanas"))
)
)
)</f>
        <v/>
      </c>
      <c r="P31" t="inlineStr">
        <is>
          <t>A01</t>
        </is>
      </c>
      <c r="Q31" t="inlineStr">
        <is>
          <t>A01O01</t>
        </is>
      </c>
      <c r="R31" t="inlineStr">
        <is>
          <t>Melhorar a comunicação com meus pais</t>
        </is>
      </c>
      <c r="S31" t="n">
        <v>0.1</v>
      </c>
    </row>
    <row r="32">
      <c r="A32" s="2" t="inlineStr">
        <is>
          <t>Família</t>
        </is>
      </c>
      <c r="B32" s="2" t="inlineStr">
        <is>
          <t>Avançado</t>
        </is>
      </c>
      <c r="C32" s="2" t="inlineStr">
        <is>
          <t>Implantar regras de uso de telas e revisar em família.</t>
        </is>
      </c>
      <c r="D32" s="9" t="n">
        <v>1</v>
      </c>
      <c r="E32" s="9" t="n">
        <v>3</v>
      </c>
      <c r="F32" s="9" t="n">
        <v>9</v>
      </c>
      <c r="G32" s="20" t="n">
        <v>1</v>
      </c>
      <c r="H32" s="20" t="inlineStr">
        <is>
          <t>s</t>
        </is>
      </c>
      <c r="I32" s="20" t="n"/>
      <c r="J32" s="20" t="n"/>
      <c r="K32" s="20" t="n">
        <v>4</v>
      </c>
      <c r="L32" s="20" t="inlineStr">
        <is>
          <t>s</t>
        </is>
      </c>
      <c r="M32" s="9" t="inlineStr">
        <is>
          <t>FaA009-1s2s</t>
        </is>
      </c>
      <c r="N32" s="9">
        <f>IF(B32="Básico",1,IF(B32="Desafio",2,IF(B32="Avançado",3)))</f>
        <v/>
      </c>
      <c r="O32" s="2">
        <f>IF(
AND(G32="",H32="",I32="",J32="",K32="",L32=""),
"Fique atento para a primeira oportunidade que surgir",
IF(AND(G32=0,LOWER(H32)="d",K32=0,LOWER(L32)="d"),
"Fique atento para a primeira oportunidade que surgir",
IF(AND(G32=1,LOWER(H32)="d",K32=1,LOWER(L32)="d"),
"Pelo menos uma vez",
IF(G32=0,"O dia inteiro",IF(G32=1,"Uma vez",TEXT(G32,"0")&amp;" vezes")&amp;" por "&amp;IF(LOWER(H32)="d","dia","semana"))
&amp;IF(AND(ISNUMBER(I32),I32&gt;0),", a cada "&amp;TEXT(I32,"0")&amp;" "&amp;IF(I32=1,IF(LOWER(J32)="d","dia","semana"),IF(LOWER(J32)="d","dias","semanas"))&amp;",","")
&amp;" por um período de "&amp;TEXT(K32,"0")&amp;" "&amp;IF(K32=1,IF(LOWER(L32)="d","dia","semana"),IF(LOWER(L32)="d","dias","semanas"))
)
)
)</f>
        <v/>
      </c>
      <c r="P32" t="inlineStr">
        <is>
          <t>A01</t>
        </is>
      </c>
      <c r="Q32" t="inlineStr">
        <is>
          <t>A01O07</t>
        </is>
      </c>
      <c r="R32" t="inlineStr">
        <is>
          <t>Orar com minha família regularmente</t>
        </is>
      </c>
      <c r="S32" t="n">
        <v>0.111</v>
      </c>
    </row>
    <row r="33">
      <c r="A33" s="2" t="inlineStr">
        <is>
          <t>Família</t>
        </is>
      </c>
      <c r="B33" s="2" t="inlineStr">
        <is>
          <t>Avançado</t>
        </is>
      </c>
      <c r="C33" s="2" t="inlineStr">
        <is>
          <t>Praticar organização do tempo: bloco de atividades familiares.</t>
        </is>
      </c>
      <c r="D33" s="9" t="n">
        <v>1</v>
      </c>
      <c r="E33" s="9" t="n">
        <v>3</v>
      </c>
      <c r="F33" s="9" t="n">
        <v>10</v>
      </c>
      <c r="G33" s="20" t="n">
        <v>1</v>
      </c>
      <c r="H33" s="20" t="inlineStr">
        <is>
          <t>s</t>
        </is>
      </c>
      <c r="I33" s="20" t="n"/>
      <c r="J33" s="20" t="n"/>
      <c r="K33" s="20" t="n">
        <v>4</v>
      </c>
      <c r="L33" s="20" t="inlineStr">
        <is>
          <t>s</t>
        </is>
      </c>
      <c r="M33" s="9" t="inlineStr">
        <is>
          <t>FaA010-1s2s</t>
        </is>
      </c>
      <c r="N33" s="9">
        <f>IF(B33="Básico",1,IF(B33="Desafio",2,IF(B33="Avançado",3)))</f>
        <v/>
      </c>
      <c r="O33" s="2">
        <f>IF(
AND(G33="",H33="",I33="",J33="",K33="",L33=""),
"Fique atento para a primeira oportunidade que surgir",
IF(AND(G33=0,LOWER(H33)="d",K33=0,LOWER(L33)="d"),
"Fique atento para a primeira oportunidade que surgir",
IF(AND(G33=1,LOWER(H33)="d",K33=1,LOWER(L33)="d"),
"Pelo menos uma vez",
IF(G33=0,"O dia inteiro",IF(G33=1,"Uma vez",TEXT(G33,"0")&amp;" vezes")&amp;" por "&amp;IF(LOWER(H33)="d","dia","semana"))
&amp;IF(AND(ISNUMBER(I33),I33&gt;0),", a cada "&amp;TEXT(I33,"0")&amp;" "&amp;IF(I33=1,IF(LOWER(J33)="d","dia","semana"),IF(LOWER(J33)="d","dias","semanas"))&amp;",","")
&amp;" por um período de "&amp;TEXT(K33,"0")&amp;" "&amp;IF(K33=1,IF(LOWER(L33)="d","dia","semana"),IF(LOWER(L33)="d","dias","semanas"))
)
)
)</f>
        <v/>
      </c>
      <c r="P33" t="inlineStr">
        <is>
          <t>A01</t>
        </is>
      </c>
      <c r="Q33" t="inlineStr">
        <is>
          <t>A01O03</t>
        </is>
      </c>
      <c r="R33" t="inlineStr">
        <is>
          <t>Passar tempo de qualidade com minha família</t>
        </is>
      </c>
      <c r="S33" t="n">
        <v>0.1</v>
      </c>
    </row>
    <row r="34">
      <c r="A34" s="2" t="inlineStr">
        <is>
          <t>Família</t>
        </is>
      </c>
      <c r="B34" s="2" t="inlineStr">
        <is>
          <t>Avançado</t>
        </is>
      </c>
      <c r="C34" s="2" t="inlineStr">
        <is>
          <t>Conduzir um plano de oração por familiares específicos, com auxílio de uma lista.</t>
        </is>
      </c>
      <c r="D34" s="9" t="n">
        <v>1</v>
      </c>
      <c r="E34" s="9" t="n">
        <v>3</v>
      </c>
      <c r="F34" s="9" t="n">
        <v>11</v>
      </c>
      <c r="G34" s="20" t="n">
        <v>3</v>
      </c>
      <c r="H34" s="20" t="inlineStr">
        <is>
          <t>s</t>
        </is>
      </c>
      <c r="I34" s="20" t="n"/>
      <c r="J34" s="20" t="n"/>
      <c r="K34" s="20" t="n">
        <v>3</v>
      </c>
      <c r="L34" s="20" t="inlineStr">
        <is>
          <t>s</t>
        </is>
      </c>
      <c r="M34" s="9" t="inlineStr">
        <is>
          <t>FaA011-1s2s</t>
        </is>
      </c>
      <c r="N34" s="9">
        <f>IF(B34="Básico",1,IF(B34="Desafio",2,IF(B34="Avançado",3)))</f>
        <v/>
      </c>
      <c r="O34" s="2">
        <f>IF(
AND(G34="",H34="",I34="",J34="",K34="",L34=""),
"Fique atento para a primeira oportunidade que surgir",
IF(AND(G34=0,LOWER(H34)="d",K34=0,LOWER(L34)="d"),
"Fique atento para a primeira oportunidade que surgir",
IF(AND(G34=1,LOWER(H34)="d",K34=1,LOWER(L34)="d"),
"Pelo menos uma vez",
IF(G34=0,"O dia inteiro",IF(G34=1,"Uma vez",TEXT(G34,"0")&amp;" vezes")&amp;" por "&amp;IF(LOWER(H34)="d","dia","semana"))
&amp;IF(AND(ISNUMBER(I34),I34&gt;0),", a cada "&amp;TEXT(I34,"0")&amp;" "&amp;IF(I34=1,IF(LOWER(J34)="d","dia","semana"),IF(LOWER(J34)="d","dias","semanas"))&amp;",","")
&amp;" por um período de "&amp;TEXT(K34,"0")&amp;" "&amp;IF(K34=1,IF(LOWER(L34)="d","dia","semana"),IF(LOWER(L34)="d","dias","semanas"))
)
)
)</f>
        <v/>
      </c>
      <c r="P34" t="inlineStr">
        <is>
          <t>A01</t>
        </is>
      </c>
      <c r="Q34" t="inlineStr">
        <is>
          <t>A01O01</t>
        </is>
      </c>
      <c r="R34" t="inlineStr">
        <is>
          <t>Melhorar a comunicação com meus pais</t>
        </is>
      </c>
      <c r="S34" t="n">
        <v>0</v>
      </c>
    </row>
    <row r="35">
      <c r="A35" s="2" t="inlineStr">
        <is>
          <t>Família</t>
        </is>
      </c>
      <c r="B35" s="2" t="inlineStr">
        <is>
          <t>Avançado</t>
        </is>
      </c>
      <c r="C35" s="2" t="inlineStr">
        <is>
          <t>Facilitar uma conversa sobre vocação com um membro da família.</t>
        </is>
      </c>
      <c r="D35" s="9" t="n">
        <v>1</v>
      </c>
      <c r="E35" s="9" t="n">
        <v>3</v>
      </c>
      <c r="F35" s="9" t="n">
        <v>12</v>
      </c>
      <c r="G35" s="20" t="n">
        <v>1</v>
      </c>
      <c r="H35" s="20" t="inlineStr">
        <is>
          <t>s</t>
        </is>
      </c>
      <c r="I35" s="20" t="n"/>
      <c r="J35" s="20" t="n"/>
      <c r="K35" s="20" t="n">
        <v>2</v>
      </c>
      <c r="L35" s="20" t="inlineStr">
        <is>
          <t>s</t>
        </is>
      </c>
      <c r="M35" s="9" t="inlineStr">
        <is>
          <t>FaA012-1s2s</t>
        </is>
      </c>
      <c r="N35" s="9">
        <f>IF(B35="Básico",1,IF(B35="Desafio",2,IF(B35="Avançado",3)))</f>
        <v/>
      </c>
      <c r="O35" s="2">
        <f>IF(
AND(G35="",H35="",I35="",J35="",K35="",L35=""),
"Fique atento para a primeira oportunidade que surgir",
IF(AND(G35=0,LOWER(H35)="d",K35=0,LOWER(L35)="d"),
"Fique atento para a primeira oportunidade que surgir",
IF(AND(G35=1,LOWER(H35)="d",K35=1,LOWER(L35)="d"),
"Pelo menos uma vez",
IF(G35=0,"O dia inteiro",IF(G35=1,"Uma vez",TEXT(G35,"0")&amp;" vezes")&amp;" por "&amp;IF(LOWER(H35)="d","dia","semana"))
&amp;IF(AND(ISNUMBER(I35),I35&gt;0),", a cada "&amp;TEXT(I35,"0")&amp;" "&amp;IF(I35=1,IF(LOWER(J35)="d","dia","semana"),IF(LOWER(J35)="d","dias","semanas"))&amp;",","")
&amp;" por um período de "&amp;TEXT(K35,"0")&amp;" "&amp;IF(K35=1,IF(LOWER(L35)="d","dia","semana"),IF(LOWER(L35)="d","dias","semanas"))
)
)
)</f>
        <v/>
      </c>
      <c r="P35" t="inlineStr">
        <is>
          <t>A01</t>
        </is>
      </c>
      <c r="Q35" t="inlineStr">
        <is>
          <t>A01O07</t>
        </is>
      </c>
      <c r="R35" t="inlineStr">
        <is>
          <t>Orar com minha família regularmente</t>
        </is>
      </c>
      <c r="S35" t="n">
        <v>0.125</v>
      </c>
    </row>
    <row r="36">
      <c r="A36" s="2" t="inlineStr">
        <is>
          <t>Família</t>
        </is>
      </c>
      <c r="B36" s="2" t="inlineStr">
        <is>
          <t>Avançado</t>
        </is>
      </c>
      <c r="C36" s="2" t="inlineStr">
        <is>
          <t>Estabelecer uma noite de jogos sem telas em família.</t>
        </is>
      </c>
      <c r="D36" s="9" t="n">
        <v>1</v>
      </c>
      <c r="E36" s="9" t="n">
        <v>3</v>
      </c>
      <c r="F36" s="9" t="n">
        <v>13</v>
      </c>
      <c r="G36" s="20" t="n">
        <v>1</v>
      </c>
      <c r="H36" s="20" t="inlineStr">
        <is>
          <t>s</t>
        </is>
      </c>
      <c r="I36" s="20" t="n"/>
      <c r="J36" s="20" t="n"/>
      <c r="K36" s="20" t="n">
        <v>3</v>
      </c>
      <c r="L36" s="20" t="inlineStr">
        <is>
          <t>s</t>
        </is>
      </c>
      <c r="M36" s="9" t="inlineStr">
        <is>
          <t>FaA013-1s3s</t>
        </is>
      </c>
      <c r="N36" s="9">
        <f>IF(B36="Básico",1,IF(B36="Desafio",2,IF(B36="Avançado",3)))</f>
        <v/>
      </c>
      <c r="O36" s="2">
        <f>IF(
AND(G36="",H36="",I36="",J36="",K36="",L36=""),
"Fique atento para a primeira oportunidade que surgir",
IF(AND(G36=0,LOWER(H36)="d",K36=0,LOWER(L36)="d"),
"Fique atento para a primeira oportunidade que surgir",
IF(AND(G36=1,LOWER(H36)="d",K36=1,LOWER(L36)="d"),
"Pelo menos uma vez",
IF(G36=0,"O dia inteiro",IF(G36=1,"Uma vez",TEXT(G36,"0")&amp;" vezes")&amp;" por "&amp;IF(LOWER(H36)="d","dia","semana"))
&amp;IF(AND(ISNUMBER(I36),I36&gt;0),", a cada "&amp;TEXT(I36,"0")&amp;" "&amp;IF(I36=1,IF(LOWER(J36)="d","dia","semana"),IF(LOWER(J36)="d","dias","semanas"))&amp;",","")
&amp;" por um período de "&amp;TEXT(K36,"0")&amp;" "&amp;IF(K36=1,IF(LOWER(L36)="d","dia","semana"),IF(LOWER(L36)="d","dias","semanas"))
)
)
)</f>
        <v/>
      </c>
      <c r="P36" t="inlineStr">
        <is>
          <t>A01</t>
        </is>
      </c>
      <c r="Q36" t="inlineStr">
        <is>
          <t>A01O07</t>
        </is>
      </c>
      <c r="R36" t="inlineStr">
        <is>
          <t>Orar com minha família regularmente</t>
        </is>
      </c>
      <c r="S36" t="n">
        <v>0.125</v>
      </c>
    </row>
    <row r="37">
      <c r="A37" s="2" t="inlineStr">
        <is>
          <t>Família</t>
        </is>
      </c>
      <c r="B37" s="2" t="inlineStr">
        <is>
          <t>Avançado</t>
        </is>
      </c>
      <c r="C37" s="2" t="inlineStr">
        <is>
          <t>Criar um álbum digital com fotos significativas e legendas.</t>
        </is>
      </c>
      <c r="D37" s="9" t="n">
        <v>1</v>
      </c>
      <c r="E37" s="9" t="n">
        <v>3</v>
      </c>
      <c r="F37" s="9" t="n">
        <v>14</v>
      </c>
      <c r="G37" s="20" t="n">
        <v>1</v>
      </c>
      <c r="H37" s="20" t="inlineStr">
        <is>
          <t>s</t>
        </is>
      </c>
      <c r="I37" s="20" t="n"/>
      <c r="J37" s="20" t="n"/>
      <c r="K37" s="20" t="n">
        <v>1</v>
      </c>
      <c r="L37" s="20" t="inlineStr">
        <is>
          <t>s</t>
        </is>
      </c>
      <c r="M37" s="9" t="inlineStr">
        <is>
          <t>FaA014-1s2s</t>
        </is>
      </c>
      <c r="N37" s="9">
        <f>IF(B37="Básico",1,IF(B37="Desafio",2,IF(B37="Avançado",3)))</f>
        <v/>
      </c>
      <c r="O37" s="2">
        <f>IF(
AND(G37="",H37="",I37="",J37="",K37="",L37=""),
"Fique atento para a primeira oportunidade que surgir",
IF(AND(G37=0,LOWER(H37)="d",K37=0,LOWER(L37)="d"),
"Fique atento para a primeira oportunidade que surgir",
IF(AND(G37=1,LOWER(H37)="d",K37=1,LOWER(L37)="d"),
"Pelo menos uma vez",
IF(G37=0,"O dia inteiro",IF(G37=1,"Uma vez",TEXT(G37,"0")&amp;" vezes")&amp;" por "&amp;IF(LOWER(H37)="d","dia","semana"))
&amp;IF(AND(ISNUMBER(I37),I37&gt;0),", a cada "&amp;TEXT(I37,"0")&amp;" "&amp;IF(I37=1,IF(LOWER(J37)="d","dia","semana"),IF(LOWER(J37)="d","dias","semanas"))&amp;",","")
&amp;" por um período de "&amp;TEXT(K37,"0")&amp;" "&amp;IF(K37=1,IF(LOWER(L37)="d","dia","semana"),IF(LOWER(L37)="d","dias","semanas"))
)
)
)</f>
        <v/>
      </c>
      <c r="P37" t="inlineStr">
        <is>
          <t>A01</t>
        </is>
      </c>
      <c r="Q37" t="inlineStr">
        <is>
          <t>A01O01</t>
        </is>
      </c>
      <c r="R37" t="inlineStr">
        <is>
          <t>Melhorar a comunicação com meus pais</t>
        </is>
      </c>
      <c r="S37" t="n">
        <v>0</v>
      </c>
    </row>
    <row r="38">
      <c r="A38" s="2" t="inlineStr">
        <is>
          <t>Família</t>
        </is>
      </c>
      <c r="B38" s="2" t="inlineStr">
        <is>
          <t>Avançado</t>
        </is>
      </c>
      <c r="C38" s="2" t="inlineStr">
        <is>
          <t>Implantar check-ins semanais sobre clima familiar.</t>
        </is>
      </c>
      <c r="D38" s="9" t="n">
        <v>1</v>
      </c>
      <c r="E38" s="9" t="n">
        <v>3</v>
      </c>
      <c r="F38" s="9" t="n">
        <v>15</v>
      </c>
      <c r="G38" s="20" t="n">
        <v>1</v>
      </c>
      <c r="H38" s="20" t="inlineStr">
        <is>
          <t>s</t>
        </is>
      </c>
      <c r="I38" s="20" t="n"/>
      <c r="J38" s="20" t="n"/>
      <c r="K38" s="20" t="n">
        <v>4</v>
      </c>
      <c r="L38" s="20" t="inlineStr">
        <is>
          <t>s</t>
        </is>
      </c>
      <c r="M38" s="9" t="inlineStr">
        <is>
          <t>FaA015-1s2s</t>
        </is>
      </c>
      <c r="N38" s="9">
        <f>IF(B38="Básico",1,IF(B38="Desafio",2,IF(B38="Avançado",3)))</f>
        <v/>
      </c>
      <c r="O38" s="2">
        <f>IF(
AND(G38="",H38="",I38="",J38="",K38="",L38=""),
"Fique atento para a primeira oportunidade que surgir",
IF(AND(G38=0,LOWER(H38)="d",K38=0,LOWER(L38)="d"),
"Fique atento para a primeira oportunidade que surgir",
IF(AND(G38=1,LOWER(H38)="d",K38=1,LOWER(L38)="d"),
"Pelo menos uma vez",
IF(G38=0,"O dia inteiro",IF(G38=1,"Uma vez",TEXT(G38,"0")&amp;" vezes")&amp;" por "&amp;IF(LOWER(H38)="d","dia","semana"))
&amp;IF(AND(ISNUMBER(I38),I38&gt;0),", a cada "&amp;TEXT(I38,"0")&amp;" "&amp;IF(I38=1,IF(LOWER(J38)="d","dia","semana"),IF(LOWER(J38)="d","dias","semanas"))&amp;",","")
&amp;" por um período de "&amp;TEXT(K38,"0")&amp;" "&amp;IF(K38=1,IF(LOWER(L38)="d","dia","semana"),IF(LOWER(L38)="d","dias","semanas"))
)
)
)</f>
        <v/>
      </c>
      <c r="P38" t="inlineStr">
        <is>
          <t>A01</t>
        </is>
      </c>
      <c r="Q38" t="inlineStr">
        <is>
          <t>A01O01</t>
        </is>
      </c>
      <c r="R38" t="inlineStr">
        <is>
          <t>Melhorar a comunicação com meus pais</t>
        </is>
      </c>
      <c r="S38" t="n">
        <v>0</v>
      </c>
    </row>
    <row r="40">
      <c r="A40" s="4" t="n"/>
      <c r="B40" s="4" t="n"/>
    </row>
  </sheetData>
  <dataValidations disablePrompts="1" count="1">
    <dataValidation sqref="G2:G1037 K2:K1037 I2:I1037" showErrorMessage="1" showInputMessage="1" allowBlank="1" errorTitle="Número inválido" error="Informe um número inteiro maior ou igual a 0" type="whole" operator="greaterThanOrEqual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2" activePane="bottomLeft" state="frozen"/>
      <selection pane="bottomLeft" activeCell="M42" sqref="M42"/>
    </sheetView>
  </sheetViews>
  <sheetFormatPr baseColWidth="8" defaultRowHeight="15"/>
  <cols>
    <col width="63" bestFit="1" customWidth="1" min="3" max="3"/>
    <col width="7" customWidth="1" style="10" min="4" max="12"/>
    <col width="13.140625" customWidth="1" style="10" min="13" max="13"/>
    <col width="7" customWidth="1" style="10" min="14" max="14"/>
    <col width="63.85546875" bestFit="1" customWidth="1" style="10" min="15" max="15"/>
    <col width="7" customWidth="1" style="10" min="16" max="17"/>
  </cols>
  <sheetData>
    <row r="1" ht="109.5" customHeight="1">
      <c r="A1" s="11" t="inlineStr">
        <is>
          <t>Area</t>
        </is>
      </c>
      <c r="B1" s="11" t="inlineStr">
        <is>
          <t>Nivel</t>
        </is>
      </c>
      <c r="C1" s="11" t="inlineStr">
        <is>
          <t>Estrategia</t>
        </is>
      </c>
      <c r="D1" s="11" t="inlineStr">
        <is>
          <t>OrdemArea</t>
        </is>
      </c>
      <c r="E1" s="11" t="inlineStr">
        <is>
          <t>OrdemNivel</t>
        </is>
      </c>
      <c r="F1" s="11" t="inlineStr">
        <is>
          <t>OrdemEstrategia</t>
        </is>
      </c>
      <c r="G1" s="11" t="inlineStr">
        <is>
          <t>FreqNum</t>
        </is>
      </c>
      <c r="H1" s="11" t="inlineStr">
        <is>
          <t>FreqUnid</t>
        </is>
      </c>
      <c r="I1" s="11" t="inlineStr">
        <is>
          <t>CadenciaNum</t>
        </is>
      </c>
      <c r="J1" s="11" t="inlineStr">
        <is>
          <t>CadenciaUnid</t>
        </is>
      </c>
      <c r="K1" s="11" t="inlineStr">
        <is>
          <t>PeriodoNum</t>
        </is>
      </c>
      <c r="L1" s="11" t="inlineStr">
        <is>
          <t>PeriodoUnid</t>
        </is>
      </c>
      <c r="M1" s="11" t="inlineStr">
        <is>
          <t>CODIGO</t>
        </is>
      </c>
      <c r="N1" s="11" t="inlineStr">
        <is>
          <t>Peso</t>
        </is>
      </c>
      <c r="O1" s="13" t="inlineStr">
        <is>
          <t>Descrição da Dosagem</t>
        </is>
      </c>
      <c r="P1" s="21" t="inlineStr">
        <is>
          <t>CodArea</t>
        </is>
      </c>
      <c r="Q1" s="11" t="inlineStr">
        <is>
          <t>CodObjetivoSugerido</t>
        </is>
      </c>
      <c r="R1" t="inlineStr">
        <is>
          <t>DescObjetivoSugerida</t>
        </is>
      </c>
      <c r="S1" t="inlineStr">
        <is>
          <t>ScoreAlinhamento</t>
        </is>
      </c>
    </row>
    <row r="2">
      <c r="A2" s="2" t="inlineStr">
        <is>
          <t>Escola</t>
        </is>
      </c>
      <c r="B2" s="2" t="inlineStr">
        <is>
          <t>Básico</t>
        </is>
      </c>
      <c r="C2" s="2" t="inlineStr">
        <is>
          <t>Revisar o conteúdo de uma aula no mesmo dia.</t>
        </is>
      </c>
      <c r="D2" s="9" t="n">
        <v>3</v>
      </c>
      <c r="E2" s="9" t="n">
        <v>1</v>
      </c>
      <c r="F2" s="9" t="n">
        <v>1</v>
      </c>
      <c r="G2" s="9" t="n">
        <v>1</v>
      </c>
      <c r="H2" s="9" t="inlineStr">
        <is>
          <t>d</t>
        </is>
      </c>
      <c r="I2" s="9" t="n"/>
      <c r="J2" s="9" t="n"/>
      <c r="K2" s="9" t="n">
        <v>1</v>
      </c>
      <c r="L2" s="9" t="inlineStr">
        <is>
          <t>s</t>
        </is>
      </c>
      <c r="M2" s="9">
        <f>LEFT(A2,2)&amp;LEFT(B2,1)&amp;TEXT(F2,"000")&amp;"-"&amp;(G2)&amp;H2&amp;(K2)&amp;L2</f>
        <v/>
      </c>
      <c r="N2" s="9" t="n">
        <v>1</v>
      </c>
      <c r="O2" s="2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/>
      </c>
      <c r="P2" t="inlineStr">
        <is>
          <t>A03</t>
        </is>
      </c>
      <c r="Q2" t="inlineStr">
        <is>
          <t>A03O02</t>
        </is>
      </c>
      <c r="R2" t="inlineStr">
        <is>
          <t>Melhorar minha participação nas aulas</t>
        </is>
      </c>
      <c r="S2" t="n">
        <v>0.125</v>
      </c>
    </row>
    <row r="3">
      <c r="A3" s="2" t="inlineStr">
        <is>
          <t>Escola</t>
        </is>
      </c>
      <c r="B3" s="2" t="inlineStr">
        <is>
          <t>Básico</t>
        </is>
      </c>
      <c r="C3" s="2" t="inlineStr">
        <is>
          <t>Anotar as tarefas no caderno ou agenda.</t>
        </is>
      </c>
      <c r="D3" s="9" t="n">
        <v>3</v>
      </c>
      <c r="E3" s="9" t="n">
        <v>1</v>
      </c>
      <c r="F3" s="9" t="n">
        <v>2</v>
      </c>
      <c r="G3" s="9" t="n">
        <v>1</v>
      </c>
      <c r="H3" s="9" t="inlineStr">
        <is>
          <t>d</t>
        </is>
      </c>
      <c r="I3" s="9" t="n"/>
      <c r="J3" s="9" t="n"/>
      <c r="K3" s="9" t="n">
        <v>1</v>
      </c>
      <c r="L3" s="9" t="inlineStr">
        <is>
          <t>s</t>
        </is>
      </c>
      <c r="M3" s="9">
        <f>LEFT(A3,2)&amp;LEFT(B3,1)&amp;TEXT(F3,"000")&amp;"-"&amp;(G3)&amp;H3&amp;(K3)&amp;L3</f>
        <v/>
      </c>
      <c r="N3" s="9" t="n">
        <v>1</v>
      </c>
      <c r="O3" s="2">
        <f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/>
      </c>
      <c r="P3" t="inlineStr">
        <is>
          <t>A03</t>
        </is>
      </c>
      <c r="Q3" t="inlineStr">
        <is>
          <t>A03O01</t>
        </is>
      </c>
      <c r="R3" t="inlineStr">
        <is>
          <t>Organizar melhor meus estudos e prazos</t>
        </is>
      </c>
      <c r="S3" t="n">
        <v>0</v>
      </c>
    </row>
    <row r="4">
      <c r="A4" s="2" t="inlineStr">
        <is>
          <t>Escola</t>
        </is>
      </c>
      <c r="B4" s="2" t="inlineStr">
        <is>
          <t>Básico</t>
        </is>
      </c>
      <c r="C4" s="2" t="inlineStr">
        <is>
          <t>Perguntar uma dúvida ao professor.</t>
        </is>
      </c>
      <c r="D4" s="9" t="n">
        <v>3</v>
      </c>
      <c r="E4" s="9" t="n">
        <v>1</v>
      </c>
      <c r="F4" s="9" t="n">
        <v>3</v>
      </c>
      <c r="G4" s="9" t="n">
        <v>1</v>
      </c>
      <c r="H4" s="9" t="inlineStr">
        <is>
          <t>d</t>
        </is>
      </c>
      <c r="I4" s="9" t="n"/>
      <c r="J4" s="9" t="n"/>
      <c r="K4" s="9" t="n">
        <v>7</v>
      </c>
      <c r="L4" s="9" t="inlineStr">
        <is>
          <t>s</t>
        </is>
      </c>
      <c r="M4" s="9">
        <f>LEFT(A4,2)&amp;LEFT(B4,1)&amp;TEXT(F4,"000")&amp;"-"&amp;(G4)&amp;H4&amp;(K4)&amp;L4</f>
        <v/>
      </c>
      <c r="N4" s="9" t="n">
        <v>1</v>
      </c>
      <c r="O4" s="2">
        <f>IF(
AND(G4="",H4="",I4="",J4="",K4="",L4=""),
"Fique atento para a primeira oportunidade que surgir",
IF(AND(G4=0,LOWER(H4)="d",K4=0,LOWER(L4)="d"),
"Fique atento para a primeira oportunidade que surgir",
IF(AND(G4=1,LOWER(H4)="d",K4=1,LOWER(L4)="d"),
"Pelo menos uma vez",
IF(G4=0,"O dia inteiro",IF(G4=1,"Uma vez",TEXT(G4,"0")&amp;" vezes")&amp;" por "&amp;IF(LOWER(H4)="d","dia","semana"))
&amp;IF(AND(ISNUMBER(I4),I4&gt;0),", a cada "&amp;TEXT(I4,"0")&amp;" "&amp;IF(I4=1,IF(LOWER(J4)="d","dia","semana"),IF(LOWER(J4)="d","dias","semanas"))&amp;",","")
&amp;" por um período de "&amp;TEXT(K4,"0")&amp;" "&amp;IF(K4=1,IF(LOWER(L4)="d","dia","semana"),IF(LOWER(L4)="d","dias","semanas"))
)
)
)</f>
        <v/>
      </c>
      <c r="P4" t="inlineStr">
        <is>
          <t>A03</t>
        </is>
      </c>
      <c r="Q4" t="inlineStr">
        <is>
          <t>A03O01</t>
        </is>
      </c>
      <c r="R4" t="inlineStr">
        <is>
          <t>Organizar melhor meus estudos e prazos</t>
        </is>
      </c>
      <c r="S4" t="n">
        <v>0</v>
      </c>
    </row>
    <row r="5">
      <c r="A5" s="2" t="inlineStr">
        <is>
          <t>Escola</t>
        </is>
      </c>
      <c r="B5" s="2" t="inlineStr">
        <is>
          <t>Básico</t>
        </is>
      </c>
      <c r="C5" s="2" t="inlineStr">
        <is>
          <t>Ajudar um colega com explicação simples.</t>
        </is>
      </c>
      <c r="D5" s="9" t="n">
        <v>3</v>
      </c>
      <c r="E5" s="9" t="n">
        <v>1</v>
      </c>
      <c r="F5" s="9" t="n">
        <v>4</v>
      </c>
      <c r="G5" s="9" t="n">
        <v>1</v>
      </c>
      <c r="H5" s="9" t="inlineStr">
        <is>
          <t>s</t>
        </is>
      </c>
      <c r="I5" s="9" t="n"/>
      <c r="J5" s="9" t="n"/>
      <c r="K5" s="9" t="n">
        <v>2</v>
      </c>
      <c r="L5" s="9" t="inlineStr">
        <is>
          <t>s</t>
        </is>
      </c>
      <c r="M5" s="9">
        <f>LEFT(A5,2)&amp;LEFT(B5,1)&amp;TEXT(F5,"000")&amp;"-"&amp;(G5)&amp;H5&amp;(K5)&amp;L5</f>
        <v/>
      </c>
      <c r="N5" s="9" t="n">
        <v>1</v>
      </c>
      <c r="O5" s="2">
        <f>IF(
AND(G5="",H5="",I5="",J5="",K5="",L5=""),
"Fique atento para a primeira oportunidade que surgir",
IF(AND(G5=0,LOWER(H5)="d",K5=0,LOWER(L5)="d"),
"Fique atento para a primeira oportunidade que surgir",
IF(AND(G5=1,LOWER(H5)="d",K5=1,LOWER(L5)="d"),
"Pelo menos uma vez",
IF(G5=0,"O dia inteiro",IF(G5=1,"Uma vez",TEXT(G5,"0")&amp;" vezes")&amp;" por "&amp;IF(LOWER(H5)="d","dia","semana"))
&amp;IF(AND(ISNUMBER(I5),I5&gt;0),", a cada "&amp;TEXT(I5,"0")&amp;" "&amp;IF(I5=1,IF(LOWER(J5)="d","dia","semana"),IF(LOWER(J5)="d","dias","semanas"))&amp;",","")
&amp;" por um período de "&amp;TEXT(K5,"0")&amp;" "&amp;IF(K5=1,IF(LOWER(L5)="d","dia","semana"),IF(LOWER(L5)="d","dias","semanas"))
)
)
)</f>
        <v/>
      </c>
      <c r="P5" t="inlineStr">
        <is>
          <t>A03</t>
        </is>
      </c>
      <c r="Q5" t="inlineStr">
        <is>
          <t>A03O06</t>
        </is>
      </c>
      <c r="R5" t="inlineStr">
        <is>
          <t>Respeitar professores e colegas</t>
        </is>
      </c>
      <c r="S5" t="n">
        <v>0.167</v>
      </c>
    </row>
    <row r="6">
      <c r="A6" s="2" t="inlineStr">
        <is>
          <t>Escola</t>
        </is>
      </c>
      <c r="B6" s="2" t="inlineStr">
        <is>
          <t>Básico</t>
        </is>
      </c>
      <c r="C6" s="2" t="inlineStr">
        <is>
          <t>Ler 10 minutos de um livro extra além da escola.</t>
        </is>
      </c>
      <c r="D6" s="9" t="n">
        <v>3</v>
      </c>
      <c r="E6" s="9" t="n">
        <v>1</v>
      </c>
      <c r="F6" s="9" t="n">
        <v>5</v>
      </c>
      <c r="G6" s="9" t="n">
        <v>1</v>
      </c>
      <c r="H6" s="9" t="inlineStr">
        <is>
          <t>d</t>
        </is>
      </c>
      <c r="I6" s="9" t="n"/>
      <c r="J6" s="9" t="n"/>
      <c r="K6" s="9" t="n">
        <v>10</v>
      </c>
      <c r="L6" s="9" t="inlineStr">
        <is>
          <t>d</t>
        </is>
      </c>
      <c r="M6" s="9">
        <f>LEFT(A6,2)&amp;LEFT(B6,1)&amp;TEXT(F6,"000")&amp;"-"&amp;(G6)&amp;H6&amp;(K6)&amp;L6</f>
        <v/>
      </c>
      <c r="N6" s="9" t="n">
        <v>1</v>
      </c>
      <c r="O6" s="2">
        <f>IF(
AND(G6="",H6="",I6="",J6="",K6="",L6=""),
"Fique atento para a primeira oportunidade que surgir",
IF(AND(G6=0,LOWER(H6)="d",K6=0,LOWER(L6)="d"),
"Fique atento para a primeira oportunidade que surgir",
IF(AND(G6=1,LOWER(H6)="d",K6=1,LOWER(L6)="d"),
"Pelo menos uma vez",
IF(G6=0,"O dia inteiro",IF(G6=1,"Uma vez",TEXT(G6,"0")&amp;" vezes")&amp;" por "&amp;IF(LOWER(H6)="d","dia","semana"))
&amp;IF(AND(ISNUMBER(I6),I6&gt;0),", a cada "&amp;TEXT(I6,"0")&amp;" "&amp;IF(I6=1,IF(LOWER(J6)="d","dia","semana"),IF(LOWER(J6)="d","dias","semanas"))&amp;",","")
&amp;" por um período de "&amp;TEXT(K6,"0")&amp;" "&amp;IF(K6=1,IF(LOWER(L6)="d","dia","semana"),IF(LOWER(L6)="d","dias","semanas"))
)
)
)</f>
        <v/>
      </c>
      <c r="P6" t="inlineStr">
        <is>
          <t>A03</t>
        </is>
      </c>
      <c r="Q6" t="inlineStr">
        <is>
          <t>A03O01</t>
        </is>
      </c>
      <c r="R6" t="inlineStr">
        <is>
          <t>Organizar melhor meus estudos e prazos</t>
        </is>
      </c>
      <c r="S6" t="n">
        <v>0</v>
      </c>
    </row>
    <row r="7">
      <c r="A7" s="2" t="inlineStr">
        <is>
          <t>Escola</t>
        </is>
      </c>
      <c r="B7" s="2" t="inlineStr">
        <is>
          <t>Básico</t>
        </is>
      </c>
      <c r="C7" s="2" t="inlineStr">
        <is>
          <t>Organizar minha mochila antes de dormir.</t>
        </is>
      </c>
      <c r="D7" s="9" t="n">
        <v>3</v>
      </c>
      <c r="E7" s="9" t="n">
        <v>1</v>
      </c>
      <c r="F7" s="9" t="n">
        <v>6</v>
      </c>
      <c r="G7" s="9" t="n">
        <v>1</v>
      </c>
      <c r="H7" s="9" t="inlineStr">
        <is>
          <t>d</t>
        </is>
      </c>
      <c r="I7" s="9" t="n"/>
      <c r="J7" s="9" t="n"/>
      <c r="K7" s="9" t="n">
        <v>2</v>
      </c>
      <c r="L7" s="9" t="inlineStr">
        <is>
          <t>s</t>
        </is>
      </c>
      <c r="M7" s="9">
        <f>LEFT(A7,2)&amp;LEFT(B7,1)&amp;TEXT(F7,"000")&amp;"-"&amp;(G7)&amp;H7&amp;(K7)&amp;L7</f>
        <v/>
      </c>
      <c r="N7" s="9" t="n">
        <v>1</v>
      </c>
      <c r="O7" s="2">
        <f>IF(
AND(G7="",H7="",I7="",J7="",K7="",L7=""),
"Fique atento para a primeira oportunidade que surgir",
IF(AND(G7=0,LOWER(H7)="d",K7=0,LOWER(L7)="d"),
"Fique atento para a primeira oportunidade que surgir",
IF(AND(G7=1,LOWER(H7)="d",K7=1,LOWER(L7)="d"),
"Pelo menos uma vez",
IF(G7=0,"O dia inteiro",IF(G7=1,"Uma vez",TEXT(G7,"0")&amp;" vezes")&amp;" por "&amp;IF(LOWER(H7)="d","dia","semana"))
&amp;IF(AND(ISNUMBER(I7),I7&gt;0),", a cada "&amp;TEXT(I7,"0")&amp;" "&amp;IF(I7=1,IF(LOWER(J7)="d","dia","semana"),IF(LOWER(J7)="d","dias","semanas"))&amp;",","")
&amp;" por um período de "&amp;TEXT(K7,"0")&amp;" "&amp;IF(K7=1,IF(LOWER(L7)="d","dia","semana"),IF(LOWER(L7)="d","dias","semanas"))
)
)
)</f>
        <v/>
      </c>
      <c r="P7" t="inlineStr">
        <is>
          <t>A03</t>
        </is>
      </c>
      <c r="Q7" t="inlineStr">
        <is>
          <t>A03O02</t>
        </is>
      </c>
      <c r="R7" t="inlineStr">
        <is>
          <t>Melhorar minha participação nas aulas</t>
        </is>
      </c>
      <c r="S7" t="n">
        <v>0.125</v>
      </c>
    </row>
    <row r="8">
      <c r="A8" s="2" t="inlineStr">
        <is>
          <t>Escola</t>
        </is>
      </c>
      <c r="B8" s="2" t="inlineStr">
        <is>
          <t>Básico</t>
        </is>
      </c>
      <c r="C8" s="2" t="inlineStr">
        <is>
          <t>Participar de forma ativa em sala de aula.</t>
        </is>
      </c>
      <c r="D8" s="9" t="n">
        <v>3</v>
      </c>
      <c r="E8" s="9" t="n">
        <v>1</v>
      </c>
      <c r="F8" s="9" t="n">
        <v>7</v>
      </c>
      <c r="G8" s="9" t="n">
        <v>1</v>
      </c>
      <c r="H8" s="9" t="inlineStr">
        <is>
          <t>d</t>
        </is>
      </c>
      <c r="I8" s="9" t="n">
        <v>2</v>
      </c>
      <c r="J8" s="9" t="inlineStr">
        <is>
          <t>d</t>
        </is>
      </c>
      <c r="K8" s="9" t="n">
        <v>2</v>
      </c>
      <c r="L8" s="9" t="inlineStr">
        <is>
          <t>s</t>
        </is>
      </c>
      <c r="M8" s="9">
        <f>LEFT(A8,2)&amp;LEFT(B8,1)&amp;TEXT(F8,"000")&amp;"-"&amp;(G8)&amp;H8&amp;(K8)&amp;L8</f>
        <v/>
      </c>
      <c r="N8" s="9" t="n">
        <v>1</v>
      </c>
      <c r="O8" s="2">
        <f>IF(
AND(G8="",H8="",I8="",J8="",K8="",L8=""),
"Fique atento para a primeira oportunidade que surgir",
IF(AND(G8=0,LOWER(H8)="d",K8=0,LOWER(L8)="d"),
"Fique atento para a primeira oportunidade que surgir",
IF(AND(G8=1,LOWER(H8)="d",K8=1,LOWER(L8)="d"),
"Pelo menos uma vez",
IF(G8=0,"O dia inteiro",IF(G8=1,"Uma vez",TEXT(G8,"0")&amp;" vezes")&amp;" por "&amp;IF(LOWER(H8)="d","dia","semana"))
&amp;IF(AND(ISNUMBER(I8),I8&gt;0),", a cada "&amp;TEXT(I8,"0")&amp;" "&amp;IF(I8=1,IF(LOWER(J8)="d","dia","semana"),IF(LOWER(J8)="d","dias","semanas"))&amp;",","")
&amp;" por um período de "&amp;TEXT(K8,"0")&amp;" "&amp;IF(K8=1,IF(LOWER(L8)="d","dia","semana"),IF(LOWER(L8)="d","dias","semanas"))
)
)
)</f>
        <v/>
      </c>
      <c r="P8" t="inlineStr">
        <is>
          <t>A03</t>
        </is>
      </c>
      <c r="Q8" t="inlineStr">
        <is>
          <t>A03O07</t>
        </is>
      </c>
      <c r="R8" t="inlineStr">
        <is>
          <t>Evitar distrações em sala de aula</t>
        </is>
      </c>
      <c r="S8" t="n">
        <v>0.286</v>
      </c>
    </row>
    <row r="9">
      <c r="A9" s="2" t="inlineStr">
        <is>
          <t>Escola</t>
        </is>
      </c>
      <c r="B9" s="2" t="inlineStr">
        <is>
          <t>Básico</t>
        </is>
      </c>
      <c r="C9" s="2" t="inlineStr">
        <is>
          <t>Cumprimentar um funcionário da escola com respeito.</t>
        </is>
      </c>
      <c r="D9" s="9" t="n">
        <v>3</v>
      </c>
      <c r="E9" s="9" t="n">
        <v>1</v>
      </c>
      <c r="F9" s="9" t="n">
        <v>8</v>
      </c>
      <c r="G9" s="9" t="n">
        <v>2</v>
      </c>
      <c r="H9" s="9" t="inlineStr">
        <is>
          <t>d</t>
        </is>
      </c>
      <c r="I9" s="9" t="n"/>
      <c r="J9" s="9" t="n"/>
      <c r="K9" s="9" t="n">
        <v>1</v>
      </c>
      <c r="L9" s="9" t="inlineStr">
        <is>
          <t>s</t>
        </is>
      </c>
      <c r="M9" s="9">
        <f>LEFT(A9,2)&amp;LEFT(B9,1)&amp;TEXT(F9,"000")&amp;"-"&amp;(G9)&amp;H9&amp;(K9)&amp;L9</f>
        <v/>
      </c>
      <c r="N9" s="9" t="n">
        <v>1</v>
      </c>
      <c r="O9" s="2">
        <f>IF(
AND(G9="",H9="",I9="",J9="",K9="",L9=""),
"Fique atento para a primeira oportunidade que surgir",
IF(AND(G9=0,LOWER(H9)="d",K9=0,LOWER(L9)="d"),
"Fique atento para a primeira oportunidade que surgir",
IF(AND(G9=1,LOWER(H9)="d",K9=1,LOWER(L9)="d"),
"Pelo menos uma vez",
IF(G9=0,"O dia inteiro",IF(G9=1,"Uma vez",TEXT(G9,"0")&amp;" vezes")&amp;" por "&amp;IF(LOWER(H9)="d","dia","semana"))
&amp;IF(AND(ISNUMBER(I9),I9&gt;0),", a cada "&amp;TEXT(I9,"0")&amp;" "&amp;IF(I9=1,IF(LOWER(J9)="d","dia","semana"),IF(LOWER(J9)="d","dias","semanas"))&amp;",","")
&amp;" por um período de "&amp;TEXT(K9,"0")&amp;" "&amp;IF(K9=1,IF(LOWER(L9)="d","dia","semana"),IF(LOWER(L9)="d","dias","semanas"))
)
)
)</f>
        <v/>
      </c>
      <c r="P9" t="inlineStr">
        <is>
          <t>A03</t>
        </is>
      </c>
      <c r="Q9" t="inlineStr">
        <is>
          <t>A03O01</t>
        </is>
      </c>
      <c r="R9" t="inlineStr">
        <is>
          <t>Organizar melhor meus estudos e prazos</t>
        </is>
      </c>
      <c r="S9" t="n">
        <v>0</v>
      </c>
    </row>
    <row r="10">
      <c r="A10" s="2" t="inlineStr">
        <is>
          <t>Escola</t>
        </is>
      </c>
      <c r="B10" s="2" t="inlineStr">
        <is>
          <t>Básico</t>
        </is>
      </c>
      <c r="C10" s="2" t="inlineStr">
        <is>
          <t>Fazer uma anotação positiva no caderno.</t>
        </is>
      </c>
      <c r="D10" s="9" t="n">
        <v>3</v>
      </c>
      <c r="E10" s="9" t="n">
        <v>1</v>
      </c>
      <c r="F10" s="9" t="n">
        <v>9</v>
      </c>
      <c r="G10" s="9" t="n">
        <v>1</v>
      </c>
      <c r="H10" s="9" t="inlineStr">
        <is>
          <t>d</t>
        </is>
      </c>
      <c r="I10" s="9" t="n">
        <v>3</v>
      </c>
      <c r="J10" s="9" t="inlineStr">
        <is>
          <t>d</t>
        </is>
      </c>
      <c r="K10" s="9" t="n">
        <v>1</v>
      </c>
      <c r="L10" s="9" t="inlineStr">
        <is>
          <t>s</t>
        </is>
      </c>
      <c r="M10" s="9">
        <f>LEFT(A10,2)&amp;LEFT(B10,1)&amp;TEXT(F10,"000")&amp;"-"&amp;(G10)&amp;H10&amp;(K10)&amp;L10</f>
        <v/>
      </c>
      <c r="N10" s="9" t="n">
        <v>1</v>
      </c>
      <c r="O10" s="2">
        <f>IF(
AND(G10="",H10="",I10="",J10="",K10="",L10=""),
"Fique atento para a primeira oportunidade que surgir",
IF(AND(G10=0,LOWER(H10)="d",K10=0,LOWER(L10)="d"),
"Fique atento para a primeira oportunidade que surgir",
IF(AND(G10=1,LOWER(H10)="d",K10=1,LOWER(L10)="d"),
"Pelo menos uma vez",
IF(G10=0,"O dia inteiro",IF(G10=1,"Uma vez",TEXT(G10,"0")&amp;" vezes")&amp;" por "&amp;IF(LOWER(H10)="d","dia","semana"))
&amp;IF(AND(ISNUMBER(I10),I10&gt;0),", a cada "&amp;TEXT(I10,"0")&amp;" "&amp;IF(I10=1,IF(LOWER(J10)="d","dia","semana"),IF(LOWER(J10)="d","dias","semanas"))&amp;",","")
&amp;" por um período de "&amp;TEXT(K10,"0")&amp;" "&amp;IF(K10=1,IF(LOWER(L10)="d","dia","semana"),IF(LOWER(L10)="d","dias","semanas"))
)
)
)</f>
        <v/>
      </c>
      <c r="P10" t="inlineStr">
        <is>
          <t>A03</t>
        </is>
      </c>
      <c r="Q10" t="inlineStr">
        <is>
          <t>A03O01</t>
        </is>
      </c>
      <c r="R10" t="inlineStr">
        <is>
          <t>Organizar melhor meus estudos e prazos</t>
        </is>
      </c>
      <c r="S10" t="n">
        <v>0</v>
      </c>
    </row>
    <row r="11">
      <c r="A11" s="2" t="inlineStr">
        <is>
          <t>Escola</t>
        </is>
      </c>
      <c r="B11" s="2" t="inlineStr">
        <is>
          <t>Básico</t>
        </is>
      </c>
      <c r="C11" s="2" t="inlineStr">
        <is>
          <t>Compartilhar material de estudo com um colega.</t>
        </is>
      </c>
      <c r="D11" s="9" t="n">
        <v>3</v>
      </c>
      <c r="E11" s="9" t="n">
        <v>1</v>
      </c>
      <c r="F11" s="9" t="n">
        <v>10</v>
      </c>
      <c r="G11" s="9" t="n">
        <v>1</v>
      </c>
      <c r="H11" s="9" t="inlineStr">
        <is>
          <t>s</t>
        </is>
      </c>
      <c r="I11" s="9" t="n"/>
      <c r="J11" s="9" t="n"/>
      <c r="K11" s="9" t="n">
        <v>1</v>
      </c>
      <c r="L11" s="9" t="inlineStr">
        <is>
          <t>s</t>
        </is>
      </c>
      <c r="M11" s="9">
        <f>LEFT(A11,2)&amp;LEFT(B11,1)&amp;TEXT(F11,"000")&amp;"-"&amp;(G11)&amp;H11&amp;(K11)&amp;L11</f>
        <v/>
      </c>
      <c r="N11" s="9" t="n">
        <v>1</v>
      </c>
      <c r="O11" s="2">
        <f>IF(
AND(G11="",H11="",I11="",J11="",K11="",L11=""),
"Fique atento para a primeira oportunidade que surgir",
IF(AND(G11=0,LOWER(H11)="d",K11=0,LOWER(L11)="d"),
"Fique atento para a primeira oportunidade que surgir",
IF(AND(G11=1,LOWER(H11)="d",K11=1,LOWER(L11)="d"),
"Pelo menos uma vez",
IF(G11=0,"O dia inteiro",IF(G11=1,"Uma vez",TEXT(G11,"0")&amp;" vezes")&amp;" por "&amp;IF(LOWER(H11)="d","dia","semana"))
&amp;IF(AND(ISNUMBER(I11),I11&gt;0),", a cada "&amp;TEXT(I11,"0")&amp;" "&amp;IF(I11=1,IF(LOWER(J11)="d","dia","semana"),IF(LOWER(J11)="d","dias","semanas"))&amp;",","")
&amp;" por um período de "&amp;TEXT(K11,"0")&amp;" "&amp;IF(K11=1,IF(LOWER(L11)="d","dia","semana"),IF(LOWER(L11)="d","dias","semanas"))
)
)
)</f>
        <v/>
      </c>
      <c r="P11" t="inlineStr">
        <is>
          <t>A03</t>
        </is>
      </c>
      <c r="Q11" t="inlineStr">
        <is>
          <t>A03O06</t>
        </is>
      </c>
      <c r="R11" t="inlineStr">
        <is>
          <t>Respeitar professores e colegas</t>
        </is>
      </c>
      <c r="S11" t="n">
        <v>0.167</v>
      </c>
    </row>
    <row r="12">
      <c r="A12" s="2" t="inlineStr">
        <is>
          <t>Escola</t>
        </is>
      </c>
      <c r="B12" s="2" t="inlineStr">
        <is>
          <t>Desafio</t>
        </is>
      </c>
      <c r="C12" s="2" t="inlineStr">
        <is>
          <t>Elaborar um resumo estruturado de um capítulo.</t>
        </is>
      </c>
      <c r="D12" s="9" t="n">
        <v>3</v>
      </c>
      <c r="E12" s="9" t="n">
        <v>2</v>
      </c>
      <c r="F12" s="9" t="n">
        <v>1</v>
      </c>
      <c r="G12" s="9" t="n">
        <v>1</v>
      </c>
      <c r="H12" s="9" t="inlineStr">
        <is>
          <t>d</t>
        </is>
      </c>
      <c r="I12" s="9" t="n">
        <v>7</v>
      </c>
      <c r="J12" s="9" t="inlineStr">
        <is>
          <t>d</t>
        </is>
      </c>
      <c r="K12" s="9" t="n">
        <v>4</v>
      </c>
      <c r="L12" s="9" t="inlineStr">
        <is>
          <t>s</t>
        </is>
      </c>
      <c r="M12" s="9">
        <f>LEFT(A12,2)&amp;LEFT(B12,1)&amp;TEXT(F12,"000")&amp;"-"&amp;(G12)&amp;H12&amp;(K12)&amp;L12</f>
        <v/>
      </c>
      <c r="N12" s="9" t="n">
        <v>2</v>
      </c>
      <c r="O12" s="2">
        <f>IF(
AND(G12="",H12="",I12="",J12="",K12="",L12=""),
"Fique atento para a primeira oportunidade que surgir",
IF(AND(G12=0,LOWER(H12)="d",K12=0,LOWER(L12)="d"),
"Fique atento para a primeira oportunidade que surgir",
IF(AND(G12=1,LOWER(H12)="d",K12=1,LOWER(L12)="d"),
"Pelo menos uma vez",
IF(G12=0,"O dia inteiro",IF(G12=1,"Uma vez",TEXT(G12,"0")&amp;" vezes")&amp;" por "&amp;IF(LOWER(H12)="d","dia","semana"))
&amp;IF(AND(ISNUMBER(I12),I12&gt;0),", a cada "&amp;TEXT(I12,"0")&amp;" "&amp;IF(I12=1,IF(LOWER(J12)="d","dia","semana"),IF(LOWER(J12)="d","dias","semanas"))&amp;",","")
&amp;" por um período de "&amp;TEXT(K12,"0")&amp;" "&amp;IF(K12=1,IF(LOWER(L12)="d","dia","semana"),IF(LOWER(L12)="d","dias","semanas"))
)
)
)</f>
        <v/>
      </c>
      <c r="P12" t="inlineStr">
        <is>
          <t>A03</t>
        </is>
      </c>
      <c r="Q12" t="inlineStr">
        <is>
          <t>A03O01</t>
        </is>
      </c>
      <c r="R12" t="inlineStr">
        <is>
          <t>Organizar melhor meus estudos e prazos</t>
        </is>
      </c>
      <c r="S12" t="n">
        <v>0</v>
      </c>
    </row>
    <row r="13">
      <c r="A13" s="2" t="inlineStr">
        <is>
          <t>Escola</t>
        </is>
      </c>
      <c r="B13" s="2" t="inlineStr">
        <is>
          <t>Desafio</t>
        </is>
      </c>
      <c r="C13" s="2" t="inlineStr">
        <is>
          <t>Resolver uma lista extra de exercícios escolhida por mim.</t>
        </is>
      </c>
      <c r="D13" s="9" t="n">
        <v>3</v>
      </c>
      <c r="E13" s="9" t="n">
        <v>2</v>
      </c>
      <c r="F13" s="9" t="n">
        <v>2</v>
      </c>
      <c r="G13" s="9" t="n">
        <v>1</v>
      </c>
      <c r="H13" s="9" t="inlineStr">
        <is>
          <t>d</t>
        </is>
      </c>
      <c r="I13" s="9" t="n">
        <v>7</v>
      </c>
      <c r="J13" s="9" t="inlineStr">
        <is>
          <t>d</t>
        </is>
      </c>
      <c r="K13" s="9" t="n">
        <v>3</v>
      </c>
      <c r="L13" s="9" t="inlineStr">
        <is>
          <t>s</t>
        </is>
      </c>
      <c r="M13" s="9">
        <f>LEFT(A13,2)&amp;LEFT(B13,1)&amp;TEXT(F13,"000")&amp;"-"&amp;(G13)&amp;H13&amp;(K13)&amp;L13</f>
        <v/>
      </c>
      <c r="N13" s="9" t="n">
        <v>2</v>
      </c>
      <c r="O13" s="2">
        <f>IF(
AND(G13="",H13="",I13="",J13="",K13="",L13=""),
"Fique atento para a primeira oportunidade que surgir",
IF(AND(G13=0,LOWER(H13)="d",K13=0,LOWER(L13)="d"),
"Fique atento para a primeira oportunidade que surgir",
IF(AND(G13=1,LOWER(H13)="d",K13=1,LOWER(L13)="d"),
"Pelo menos uma vez",
IF(G13=0,"O dia inteiro",IF(G13=1,"Uma vez",TEXT(G13,"0")&amp;" vezes")&amp;" por "&amp;IF(LOWER(H13)="d","dia","semana"))
&amp;IF(AND(ISNUMBER(I13),I13&gt;0),", a cada "&amp;TEXT(I13,"0")&amp;" "&amp;IF(I13=1,IF(LOWER(J13)="d","dia","semana"),IF(LOWER(J13)="d","dias","semanas"))&amp;",","")
&amp;" por um período de "&amp;TEXT(K13,"0")&amp;" "&amp;IF(K13=1,IF(LOWER(L13)="d","dia","semana"),IF(LOWER(L13)="d","dias","semanas"))
)
)
)</f>
        <v/>
      </c>
      <c r="P13" t="inlineStr">
        <is>
          <t>A03</t>
        </is>
      </c>
      <c r="Q13" t="inlineStr">
        <is>
          <t>A03O01</t>
        </is>
      </c>
      <c r="R13" t="inlineStr">
        <is>
          <t>Organizar melhor meus estudos e prazos</t>
        </is>
      </c>
      <c r="S13" t="n">
        <v>0</v>
      </c>
    </row>
    <row r="14">
      <c r="A14" s="2" t="inlineStr">
        <is>
          <t>Escola</t>
        </is>
      </c>
      <c r="B14" s="2" t="inlineStr">
        <is>
          <t>Desafio</t>
        </is>
      </c>
      <c r="C14" s="2" t="inlineStr">
        <is>
          <t>Criar flashcards e revisar por 15 minutos.</t>
        </is>
      </c>
      <c r="D14" s="9" t="n">
        <v>3</v>
      </c>
      <c r="E14" s="9" t="n">
        <v>2</v>
      </c>
      <c r="F14" s="9" t="n">
        <v>3</v>
      </c>
      <c r="G14" s="9" t="n">
        <v>1</v>
      </c>
      <c r="H14" s="9" t="inlineStr">
        <is>
          <t>d</t>
        </is>
      </c>
      <c r="I14" s="9" t="n">
        <v>2</v>
      </c>
      <c r="J14" s="9" t="inlineStr">
        <is>
          <t>d</t>
        </is>
      </c>
      <c r="K14" s="9" t="n">
        <v>2</v>
      </c>
      <c r="L14" s="9" t="inlineStr">
        <is>
          <t>s</t>
        </is>
      </c>
      <c r="M14" s="9">
        <f>LEFT(A14,2)&amp;LEFT(B14,1)&amp;TEXT(F14,"000")&amp;"-"&amp;(G14)&amp;H14&amp;(K14)&amp;L14</f>
        <v/>
      </c>
      <c r="N14" s="9" t="n">
        <v>2</v>
      </c>
      <c r="O14" s="2">
        <f>IF(
AND(G14="",H14="",I14="",J14="",K14="",L14=""),
"Fique atento para a primeira oportunidade que surgir",
IF(AND(G14=0,LOWER(H14)="d",K14=0,LOWER(L14)="d"),
"Fique atento para a primeira oportunidade que surgir",
IF(AND(G14=1,LOWER(H14)="d",K14=1,LOWER(L14)="d"),
"Pelo menos uma vez",
IF(G14=0,"O dia inteiro",IF(G14=1,"Uma vez",TEXT(G14,"0")&amp;" vezes")&amp;" por "&amp;IF(LOWER(H14)="d","dia","semana"))
&amp;IF(AND(ISNUMBER(I14),I14&gt;0),", a cada "&amp;TEXT(I14,"0")&amp;" "&amp;IF(I14=1,IF(LOWER(J14)="d","dia","semana"),IF(LOWER(J14)="d","dias","semanas"))&amp;",","")
&amp;" por um período de "&amp;TEXT(K14,"0")&amp;" "&amp;IF(K14=1,IF(LOWER(L14)="d","dia","semana"),IF(LOWER(L14)="d","dias","semanas"))
)
)
)</f>
        <v/>
      </c>
      <c r="P14" t="inlineStr">
        <is>
          <t>A03</t>
        </is>
      </c>
      <c r="Q14" t="inlineStr">
        <is>
          <t>A03O01</t>
        </is>
      </c>
      <c r="R14" t="inlineStr">
        <is>
          <t>Organizar melhor meus estudos e prazos</t>
        </is>
      </c>
      <c r="S14" t="n">
        <v>0</v>
      </c>
    </row>
    <row r="15">
      <c r="A15" s="2" t="inlineStr">
        <is>
          <t>Escola</t>
        </is>
      </c>
      <c r="B15" s="2" t="inlineStr">
        <is>
          <t>Desafio</t>
        </is>
      </c>
      <c r="C15" s="2" t="inlineStr">
        <is>
          <t>Formar um grupo de estudo e combinar um encontro.</t>
        </is>
      </c>
      <c r="D15" s="9" t="n">
        <v>3</v>
      </c>
      <c r="E15" s="9" t="n">
        <v>2</v>
      </c>
      <c r="F15" s="9" t="n">
        <v>4</v>
      </c>
      <c r="G15" s="9" t="n">
        <v>1</v>
      </c>
      <c r="H15" s="9" t="inlineStr">
        <is>
          <t>s</t>
        </is>
      </c>
      <c r="I15" s="9" t="n"/>
      <c r="J15" s="9" t="n"/>
      <c r="K15" s="9" t="n">
        <v>3</v>
      </c>
      <c r="L15" s="9" t="inlineStr">
        <is>
          <t>s</t>
        </is>
      </c>
      <c r="M15" s="9">
        <f>LEFT(A15,2)&amp;LEFT(B15,1)&amp;TEXT(F15,"000")&amp;"-"&amp;(G15)&amp;H15&amp;(K15)&amp;L15</f>
        <v/>
      </c>
      <c r="N15" s="9" t="n">
        <v>2</v>
      </c>
      <c r="O15" s="2">
        <f>IF(
AND(G15="",H15="",I15="",J15="",K15="",L15=""),
"Fique atento para a primeira oportunidade que surgir",
IF(AND(G15=0,LOWER(H15)="d",K15=0,LOWER(L15)="d"),
"Fique atento para a primeira oportunidade que surgir",
IF(AND(G15=1,LOWER(H15)="d",K15=1,LOWER(L15)="d"),
"Pelo menos uma vez",
IF(G15=0,"O dia inteiro",IF(G15=1,"Uma vez",TEXT(G15,"0")&amp;" vezes")&amp;" por "&amp;IF(LOWER(H15)="d","dia","semana"))
&amp;IF(AND(ISNUMBER(I15),I15&gt;0),", a cada "&amp;TEXT(I15,"0")&amp;" "&amp;IF(I15=1,IF(LOWER(J15)="d","dia","semana"),IF(LOWER(J15)="d","dias","semanas"))&amp;",","")
&amp;" por um período de "&amp;TEXT(K15,"0")&amp;" "&amp;IF(K15=1,IF(LOWER(L15)="d","dia","semana"),IF(LOWER(L15)="d","dias","semanas"))
)
)
)</f>
        <v/>
      </c>
      <c r="P15" t="inlineStr">
        <is>
          <t>A03</t>
        </is>
      </c>
      <c r="Q15" t="inlineStr">
        <is>
          <t>A03O08</t>
        </is>
      </c>
      <c r="R15" t="inlineStr">
        <is>
          <t>Montar um plano de estudos realista</t>
        </is>
      </c>
      <c r="S15" t="n">
        <v>0.125</v>
      </c>
    </row>
    <row r="16">
      <c r="A16" s="2" t="inlineStr">
        <is>
          <t>Escola</t>
        </is>
      </c>
      <c r="B16" s="2" t="inlineStr">
        <is>
          <t>Desafio</t>
        </is>
      </c>
      <c r="C16" s="2" t="inlineStr">
        <is>
          <t>Produzir um mapa mental de um tema difícil.</t>
        </is>
      </c>
      <c r="D16" s="9" t="n">
        <v>3</v>
      </c>
      <c r="E16" s="9" t="n">
        <v>2</v>
      </c>
      <c r="F16" s="9" t="n">
        <v>5</v>
      </c>
      <c r="G16" s="9" t="n">
        <v>1</v>
      </c>
      <c r="H16" s="9" t="inlineStr">
        <is>
          <t>s</t>
        </is>
      </c>
      <c r="I16" s="9" t="n"/>
      <c r="J16" s="9" t="n"/>
      <c r="K16" s="9" t="n">
        <v>2</v>
      </c>
      <c r="L16" s="9" t="inlineStr">
        <is>
          <t>s</t>
        </is>
      </c>
      <c r="M16" s="9">
        <f>LEFT(A16,2)&amp;LEFT(B16,1)&amp;TEXT(F16,"000")&amp;"-"&amp;(G16)&amp;H16&amp;(K16)&amp;L16</f>
        <v/>
      </c>
      <c r="N16" s="9" t="n">
        <v>2</v>
      </c>
      <c r="O16" s="2">
        <f>IF(
AND(G16="",H16="",I16="",J16="",K16="",L16=""),
"Fique atento para a primeira oportunidade que surgir",
IF(AND(G16=0,LOWER(H16)="d",K16=0,LOWER(L16)="d"),
"Fique atento para a primeira oportunidade que surgir",
IF(AND(G16=1,LOWER(H16)="d",K16=1,LOWER(L16)="d"),
"Pelo menos uma vez",
IF(G16=0,"O dia inteiro",IF(G16=1,"Uma vez",TEXT(G16,"0")&amp;" vezes")&amp;" por "&amp;IF(LOWER(H16)="d","dia","semana"))
&amp;IF(AND(ISNUMBER(I16),I16&gt;0),", a cada "&amp;TEXT(I16,"0")&amp;" "&amp;IF(I16=1,IF(LOWER(J16)="d","dia","semana"),IF(LOWER(J16)="d","dias","semanas"))&amp;",","")
&amp;" por um período de "&amp;TEXT(K16,"0")&amp;" "&amp;IF(K16=1,IF(LOWER(L16)="d","dia","semana"),IF(LOWER(L16)="d","dias","semanas"))
)
)
)</f>
        <v/>
      </c>
      <c r="P16" t="inlineStr">
        <is>
          <t>A03</t>
        </is>
      </c>
      <c r="Q16" t="inlineStr">
        <is>
          <t>A03O01</t>
        </is>
      </c>
      <c r="R16" t="inlineStr">
        <is>
          <t>Organizar melhor meus estudos e prazos</t>
        </is>
      </c>
      <c r="S16" t="n">
        <v>0</v>
      </c>
    </row>
    <row r="17">
      <c r="A17" s="2" t="inlineStr">
        <is>
          <t>Escola</t>
        </is>
      </c>
      <c r="B17" s="2" t="inlineStr">
        <is>
          <t>Desafio</t>
        </is>
      </c>
      <c r="C17" s="2" t="inlineStr">
        <is>
          <t>Assistir uma videoaula e anotar pontos-chave.</t>
        </is>
      </c>
      <c r="D17" s="9" t="n">
        <v>3</v>
      </c>
      <c r="E17" s="9" t="n">
        <v>2</v>
      </c>
      <c r="F17" s="9" t="n">
        <v>6</v>
      </c>
      <c r="G17" s="9" t="n">
        <v>1</v>
      </c>
      <c r="H17" s="9" t="inlineStr">
        <is>
          <t>s</t>
        </is>
      </c>
      <c r="I17" s="9" t="n"/>
      <c r="J17" s="9" t="n"/>
      <c r="K17" s="9" t="n">
        <v>3</v>
      </c>
      <c r="L17" s="9" t="inlineStr">
        <is>
          <t>s</t>
        </is>
      </c>
      <c r="M17" s="9">
        <f>LEFT(A17,2)&amp;LEFT(B17,1)&amp;TEXT(F17,"000")&amp;"-"&amp;(G17)&amp;H17&amp;(K17)&amp;L17</f>
        <v/>
      </c>
      <c r="N17" s="9" t="n">
        <v>2</v>
      </c>
      <c r="O17" s="2">
        <f>IF(
AND(G17="",H17="",I17="",J17="",K17="",L17=""),
"Fique atento para a primeira oportunidade que surgir",
IF(AND(G17=0,LOWER(H17)="d",K17=0,LOWER(L17)="d"),
"Fique atento para a primeira oportunidade que surgir",
IF(AND(G17=1,LOWER(H17)="d",K17=1,LOWER(L17)="d"),
"Pelo menos uma vez",
IF(G17=0,"O dia inteiro",IF(G17=1,"Uma vez",TEXT(G17,"0")&amp;" vezes")&amp;" por "&amp;IF(LOWER(H17)="d","dia","semana"))
&amp;IF(AND(ISNUMBER(I17),I17&gt;0),", a cada "&amp;TEXT(I17,"0")&amp;" "&amp;IF(I17=1,IF(LOWER(J17)="d","dia","semana"),IF(LOWER(J17)="d","dias","semanas"))&amp;",","")
&amp;" por um período de "&amp;TEXT(K17,"0")&amp;" "&amp;IF(K17=1,IF(LOWER(L17)="d","dia","semana"),IF(LOWER(L17)="d","dias","semanas"))
)
)
)</f>
        <v/>
      </c>
      <c r="P17" t="inlineStr">
        <is>
          <t>A03</t>
        </is>
      </c>
      <c r="Q17" t="inlineStr">
        <is>
          <t>A03O01</t>
        </is>
      </c>
      <c r="R17" t="inlineStr">
        <is>
          <t>Organizar melhor meus estudos e prazos</t>
        </is>
      </c>
      <c r="S17" t="n">
        <v>0</v>
      </c>
    </row>
    <row r="18">
      <c r="A18" s="2" t="inlineStr">
        <is>
          <t>Escola</t>
        </is>
      </c>
      <c r="B18" s="2" t="inlineStr">
        <is>
          <t>Desafio</t>
        </is>
      </c>
      <c r="C18" s="2" t="inlineStr">
        <is>
          <t>Agendar e comparecer a horário de dúvidas com professor.</t>
        </is>
      </c>
      <c r="D18" s="9" t="n">
        <v>3</v>
      </c>
      <c r="E18" s="9" t="n">
        <v>2</v>
      </c>
      <c r="F18" s="9" t="n">
        <v>7</v>
      </c>
      <c r="G18" s="9" t="n">
        <v>1</v>
      </c>
      <c r="H18" s="9" t="inlineStr">
        <is>
          <t>s</t>
        </is>
      </c>
      <c r="I18" s="9" t="n"/>
      <c r="J18" s="9" t="n"/>
      <c r="K18" s="9" t="n">
        <v>3</v>
      </c>
      <c r="L18" s="9" t="inlineStr">
        <is>
          <t>s</t>
        </is>
      </c>
      <c r="M18" s="9">
        <f>LEFT(A18,2)&amp;LEFT(B18,1)&amp;TEXT(F18,"000")&amp;"-"&amp;(G18)&amp;H18&amp;(K18)&amp;L18</f>
        <v/>
      </c>
      <c r="N18" s="9" t="n">
        <v>2</v>
      </c>
      <c r="O18" s="2">
        <f>IF(
AND(G18="",H18="",I18="",J18="",K18="",L18=""),
"Fique atento para a primeira oportunidade que surgir",
IF(AND(G18=0,LOWER(H18)="d",K18=0,LOWER(L18)="d"),
"Fique atento para a primeira oportunidade que surgir",
IF(AND(G18=1,LOWER(H18)="d",K18=1,LOWER(L18)="d"),
"Pelo menos uma vez",
IF(G18=0,"O dia inteiro",IF(G18=1,"Uma vez",TEXT(G18,"0")&amp;" vezes")&amp;" por "&amp;IF(LOWER(H18)="d","dia","semana"))
&amp;IF(AND(ISNUMBER(I18),I18&gt;0),", a cada "&amp;TEXT(I18,"0")&amp;" "&amp;IF(I18=1,IF(LOWER(J18)="d","dia","semana"),IF(LOWER(J18)="d","dias","semanas"))&amp;",","")
&amp;" por um período de "&amp;TEXT(K18,"0")&amp;" "&amp;IF(K18=1,IF(LOWER(L18)="d","dia","semana"),IF(LOWER(L18)="d","dias","semanas"))
)
)
)</f>
        <v/>
      </c>
      <c r="P18" t="inlineStr">
        <is>
          <t>A03</t>
        </is>
      </c>
      <c r="Q18" t="inlineStr">
        <is>
          <t>A03O01</t>
        </is>
      </c>
      <c r="R18" t="inlineStr">
        <is>
          <t>Organizar melhor meus estudos e prazos</t>
        </is>
      </c>
      <c r="S18" t="n">
        <v>0</v>
      </c>
    </row>
    <row r="19">
      <c r="A19" s="2" t="inlineStr">
        <is>
          <t>Escola</t>
        </is>
      </c>
      <c r="B19" s="2" t="inlineStr">
        <is>
          <t>Desafio</t>
        </is>
      </c>
      <c r="C19" s="2" t="inlineStr">
        <is>
          <t>Aplicar técnica Pomodoro por 1 hora de estudo.</t>
        </is>
      </c>
      <c r="D19" s="9" t="n">
        <v>3</v>
      </c>
      <c r="E19" s="9" t="n">
        <v>2</v>
      </c>
      <c r="F19" s="9" t="n">
        <v>8</v>
      </c>
      <c r="G19" s="9" t="n">
        <v>1</v>
      </c>
      <c r="H19" s="9" t="inlineStr">
        <is>
          <t>s</t>
        </is>
      </c>
      <c r="I19" s="9" t="n"/>
      <c r="J19" s="9" t="n"/>
      <c r="K19" s="9" t="n">
        <v>3</v>
      </c>
      <c r="L19" s="9" t="inlineStr">
        <is>
          <t>s</t>
        </is>
      </c>
      <c r="M19" s="9">
        <f>LEFT(A19,2)&amp;LEFT(B19,1)&amp;TEXT(F19,"000")&amp;"-"&amp;(G19)&amp;H19&amp;(K19)&amp;L19</f>
        <v/>
      </c>
      <c r="N19" s="9" t="n">
        <v>2</v>
      </c>
      <c r="O19" s="2">
        <f>IF(
AND(G19="",H19="",I19="",J19="",K19="",L19=""),
"Fique atento para a primeira oportunidade que surgir",
IF(AND(G19=0,LOWER(H19)="d",K19=0,LOWER(L19)="d"),
"Fique atento para a primeira oportunidade que surgir",
IF(AND(G19=1,LOWER(H19)="d",K19=1,LOWER(L19)="d"),
"Pelo menos uma vez",
IF(G19=0,"O dia inteiro",IF(G19=1,"Uma vez",TEXT(G19,"0")&amp;" vezes")&amp;" por "&amp;IF(LOWER(H19)="d","dia","semana"))
&amp;IF(AND(ISNUMBER(I19),I19&gt;0),", a cada "&amp;TEXT(I19,"0")&amp;" "&amp;IF(I19=1,IF(LOWER(J19)="d","dia","semana"),IF(LOWER(J19)="d","dias","semanas"))&amp;",","")
&amp;" por um período de "&amp;TEXT(K19,"0")&amp;" "&amp;IF(K19=1,IF(LOWER(L19)="d","dia","semana"),IF(LOWER(L19)="d","dias","semanas"))
)
)
)</f>
        <v/>
      </c>
      <c r="P19" t="inlineStr">
        <is>
          <t>A03</t>
        </is>
      </c>
      <c r="Q19" t="inlineStr">
        <is>
          <t>A03O08</t>
        </is>
      </c>
      <c r="R19" t="inlineStr">
        <is>
          <t>Montar um plano de estudos realista</t>
        </is>
      </c>
      <c r="S19" t="n">
        <v>0.125</v>
      </c>
    </row>
    <row r="20">
      <c r="A20" s="2" t="inlineStr">
        <is>
          <t>Escola</t>
        </is>
      </c>
      <c r="B20" s="2" t="inlineStr">
        <is>
          <t>Desafio</t>
        </is>
      </c>
      <c r="C20" s="2" t="inlineStr">
        <is>
          <t>Planejar a semana acadêmica em uma agenda digital.</t>
        </is>
      </c>
      <c r="D20" s="9" t="n">
        <v>3</v>
      </c>
      <c r="E20" s="9" t="n">
        <v>2</v>
      </c>
      <c r="F20" s="9" t="n">
        <v>9</v>
      </c>
      <c r="G20" s="9" t="n">
        <v>1</v>
      </c>
      <c r="H20" s="9" t="inlineStr">
        <is>
          <t>s</t>
        </is>
      </c>
      <c r="I20" s="9" t="n"/>
      <c r="J20" s="9" t="n"/>
      <c r="K20" s="9" t="n">
        <v>4</v>
      </c>
      <c r="L20" s="9" t="inlineStr">
        <is>
          <t>s</t>
        </is>
      </c>
      <c r="M20" s="9">
        <f>LEFT(A20,2)&amp;LEFT(B20,1)&amp;TEXT(F20,"000")&amp;"-"&amp;(G20)&amp;H20&amp;(K20)&amp;L20</f>
        <v/>
      </c>
      <c r="N20" s="9" t="n">
        <v>2</v>
      </c>
      <c r="O20" s="2">
        <f>IF(
AND(G20="",H20="",I20="",J20="",K20="",L20=""),
"Fique atento para a primeira oportunidade que surgir",
IF(AND(G20=0,LOWER(H20)="d",K20=0,LOWER(L20)="d"),
"Fique atento para a primeira oportunidade que surgir",
IF(AND(G20=1,LOWER(H20)="d",K20=1,LOWER(L20)="d"),
"Pelo menos uma vez",
IF(G20=0,"O dia inteiro",IF(G20=1,"Uma vez",TEXT(G20,"0")&amp;" vezes")&amp;" por "&amp;IF(LOWER(H20)="d","dia","semana"))
&amp;IF(AND(ISNUMBER(I20),I20&gt;0),", a cada "&amp;TEXT(I20,"0")&amp;" "&amp;IF(I20=1,IF(LOWER(J20)="d","dia","semana"),IF(LOWER(J20)="d","dias","semanas"))&amp;",","")
&amp;" por um período de "&amp;TEXT(K20,"0")&amp;" "&amp;IF(K20=1,IF(LOWER(L20)="d","dia","semana"),IF(LOWER(L20)="d","dias","semanas"))
)
)
)</f>
        <v/>
      </c>
      <c r="P20" t="inlineStr">
        <is>
          <t>A03</t>
        </is>
      </c>
      <c r="Q20" t="inlineStr">
        <is>
          <t>A03O01</t>
        </is>
      </c>
      <c r="R20" t="inlineStr">
        <is>
          <t>Organizar melhor meus estudos e prazos</t>
        </is>
      </c>
      <c r="S20" t="n">
        <v>0</v>
      </c>
    </row>
    <row r="21">
      <c r="A21" s="2" t="inlineStr">
        <is>
          <t>Escola</t>
        </is>
      </c>
      <c r="B21" s="2" t="inlineStr">
        <is>
          <t>Desafio</t>
        </is>
      </c>
      <c r="C21" s="2" t="inlineStr">
        <is>
          <t>Fazer um simulado breve (10–15 questões).</t>
        </is>
      </c>
      <c r="D21" s="9" t="n">
        <v>3</v>
      </c>
      <c r="E21" s="9" t="n">
        <v>2</v>
      </c>
      <c r="F21" s="9" t="n">
        <v>10</v>
      </c>
      <c r="G21" s="9" t="n">
        <v>3</v>
      </c>
      <c r="H21" s="9" t="inlineStr">
        <is>
          <t>s</t>
        </is>
      </c>
      <c r="I21" s="9" t="n"/>
      <c r="J21" s="9" t="n"/>
      <c r="K21" s="9" t="n">
        <v>1</v>
      </c>
      <c r="L21" s="9" t="inlineStr">
        <is>
          <t>s</t>
        </is>
      </c>
      <c r="M21" s="9">
        <f>LEFT(A21,2)&amp;LEFT(B21,1)&amp;TEXT(F21,"000")&amp;"-"&amp;(G21)&amp;H21&amp;(K21)&amp;L21</f>
        <v/>
      </c>
      <c r="N21" s="9" t="n">
        <v>2</v>
      </c>
      <c r="O21" s="2">
        <f>IF(
AND(G21="",H21="",I21="",J21="",K21="",L21=""),
"Fique atento para a primeira oportunidade que surgir",
IF(AND(G21=0,LOWER(H21)="d",K21=0,LOWER(L21)="d"),
"Fique atento para a primeira oportunidade que surgir",
IF(AND(G21=1,LOWER(H21)="d",K21=1,LOWER(L21)="d"),
"Pelo menos uma vez",
IF(G21=0,"O dia inteiro",IF(G21=1,"Uma vez",TEXT(G21,"0")&amp;" vezes")&amp;" por "&amp;IF(LOWER(H21)="d","dia","semana"))
&amp;IF(AND(ISNUMBER(I21),I21&gt;0),", a cada "&amp;TEXT(I21,"0")&amp;" "&amp;IF(I21=1,IF(LOWER(J21)="d","dia","semana"),IF(LOWER(J21)="d","dias","semanas"))&amp;",","")
&amp;" por um período de "&amp;TEXT(K21,"0")&amp;" "&amp;IF(K21=1,IF(LOWER(L21)="d","dia","semana"),IF(LOWER(L21)="d","dias","semanas"))
)
)
)</f>
        <v/>
      </c>
      <c r="P21" t="inlineStr">
        <is>
          <t>A03</t>
        </is>
      </c>
      <c r="Q21" t="inlineStr">
        <is>
          <t>A03O01</t>
        </is>
      </c>
      <c r="R21" t="inlineStr">
        <is>
          <t>Organizar melhor meus estudos e prazos</t>
        </is>
      </c>
      <c r="S21" t="n">
        <v>0</v>
      </c>
    </row>
    <row r="22">
      <c r="A22" s="2" t="inlineStr">
        <is>
          <t>Escola</t>
        </is>
      </c>
      <c r="B22" s="2" t="inlineStr">
        <is>
          <t>Desafio</t>
        </is>
      </c>
      <c r="C22" s="2" t="inlineStr">
        <is>
          <t>Reescrever anotações tornando-as mais claras.</t>
        </is>
      </c>
      <c r="D22" s="9" t="n">
        <v>3</v>
      </c>
      <c r="E22" s="9" t="n">
        <v>2</v>
      </c>
      <c r="F22" s="9" t="n">
        <v>11</v>
      </c>
      <c r="G22" s="9" t="n">
        <v>1</v>
      </c>
      <c r="H22" s="9" t="inlineStr">
        <is>
          <t>d</t>
        </is>
      </c>
      <c r="I22" s="9" t="n">
        <v>2</v>
      </c>
      <c r="J22" s="9" t="inlineStr">
        <is>
          <t>d</t>
        </is>
      </c>
      <c r="K22" s="9" t="n">
        <v>3</v>
      </c>
      <c r="L22" s="9" t="inlineStr">
        <is>
          <t>s</t>
        </is>
      </c>
      <c r="M22" s="9">
        <f>LEFT(A22,2)&amp;LEFT(B22,1)&amp;TEXT(F22,"000")&amp;"-"&amp;(G22)&amp;H22&amp;(K22)&amp;L22</f>
        <v/>
      </c>
      <c r="N22" s="9" t="n">
        <v>2</v>
      </c>
      <c r="O22" s="2">
        <f>IF(
AND(G22="",H22="",I22="",J22="",K22="",L22=""),
"Fique atento para a primeira oportunidade que surgir",
IF(AND(G22=0,LOWER(H22)="d",K22=0,LOWER(L22)="d"),
"Fique atento para a primeira oportunidade que surgir",
IF(AND(G22=1,LOWER(H22)="d",K22=1,LOWER(L22)="d"),
"Pelo menos uma vez",
IF(G22=0,"O dia inteiro",IF(G22=1,"Uma vez",TEXT(G22,"0")&amp;" vezes")&amp;" por "&amp;IF(LOWER(H22)="d","dia","semana"))
&amp;IF(AND(ISNUMBER(I22),I22&gt;0),", a cada "&amp;TEXT(I22,"0")&amp;" "&amp;IF(I22=1,IF(LOWER(J22)="d","dia","semana"),IF(LOWER(J22)="d","dias","semanas"))&amp;",","")
&amp;" por um período de "&amp;TEXT(K22,"0")&amp;" "&amp;IF(K22=1,IF(LOWER(L22)="d","dia","semana"),IF(LOWER(L22)="d","dias","semanas"))
)
)
)</f>
        <v/>
      </c>
      <c r="P22" t="inlineStr">
        <is>
          <t>A03</t>
        </is>
      </c>
      <c r="Q22" t="inlineStr">
        <is>
          <t>A03O01</t>
        </is>
      </c>
      <c r="R22" t="inlineStr">
        <is>
          <t>Organizar melhor meus estudos e prazos</t>
        </is>
      </c>
      <c r="S22" t="n">
        <v>0</v>
      </c>
    </row>
    <row r="23">
      <c r="A23" s="2" t="inlineStr">
        <is>
          <t>Escola</t>
        </is>
      </c>
      <c r="B23" s="2" t="inlineStr">
        <is>
          <t>Desafio</t>
        </is>
      </c>
      <c r="C23" s="2" t="inlineStr">
        <is>
          <t>Explicar um conceito a um colega até ele entender.</t>
        </is>
      </c>
      <c r="D23" s="9" t="n">
        <v>3</v>
      </c>
      <c r="E23" s="9" t="n">
        <v>2</v>
      </c>
      <c r="F23" s="9" t="n">
        <v>12</v>
      </c>
      <c r="G23" s="9" t="n">
        <v>1</v>
      </c>
      <c r="H23" s="9" t="inlineStr">
        <is>
          <t>s</t>
        </is>
      </c>
      <c r="I23" s="9" t="n"/>
      <c r="J23" s="9" t="n"/>
      <c r="K23" s="9" t="n">
        <v>1</v>
      </c>
      <c r="L23" s="9" t="inlineStr">
        <is>
          <t>s</t>
        </is>
      </c>
      <c r="M23" s="9">
        <f>LEFT(A23,2)&amp;LEFT(B23,1)&amp;TEXT(F23,"000")&amp;"-"&amp;(G23)&amp;H23&amp;(K23)&amp;L23</f>
        <v/>
      </c>
      <c r="N23" s="9" t="n">
        <v>2</v>
      </c>
      <c r="O23" s="2">
        <f>IF(
AND(G23="",H23="",I23="",J23="",K23="",L23=""),
"Fique atento para a primeira oportunidade que surgir",
IF(AND(G23=0,LOWER(H23)="d",K23=0,LOWER(L23)="d"),
"Fique atento para a primeira oportunidade que surgir",
IF(AND(G23=1,LOWER(H23)="d",K23=1,LOWER(L23)="d"),
"Pelo menos uma vez",
IF(G23=0,"O dia inteiro",IF(G23=1,"Uma vez",TEXT(G23,"0")&amp;" vezes")&amp;" por "&amp;IF(LOWER(H23)="d","dia","semana"))
&amp;IF(AND(ISNUMBER(I23),I23&gt;0),", a cada "&amp;TEXT(I23,"0")&amp;" "&amp;IF(I23=1,IF(LOWER(J23)="d","dia","semana"),IF(LOWER(J23)="d","dias","semanas"))&amp;",","")
&amp;" por um período de "&amp;TEXT(K23,"0")&amp;" "&amp;IF(K23=1,IF(LOWER(L23)="d","dia","semana"),IF(LOWER(L23)="d","dias","semanas"))
)
)
)</f>
        <v/>
      </c>
      <c r="P23" t="inlineStr">
        <is>
          <t>A03</t>
        </is>
      </c>
      <c r="Q23" t="inlineStr">
        <is>
          <t>A03O06</t>
        </is>
      </c>
      <c r="R23" t="inlineStr">
        <is>
          <t>Respeitar professores e colegas</t>
        </is>
      </c>
      <c r="S23" t="n">
        <v>0.143</v>
      </c>
    </row>
    <row r="24">
      <c r="A24" s="2" t="inlineStr">
        <is>
          <t>Escola</t>
        </is>
      </c>
      <c r="B24" s="2" t="inlineStr">
        <is>
          <t>Avançado</t>
        </is>
      </c>
      <c r="C24" s="2" t="inlineStr">
        <is>
          <t>Montar plano de estudos de 3 semanas com metas e revisões.</t>
        </is>
      </c>
      <c r="D24" s="9" t="n">
        <v>3</v>
      </c>
      <c r="E24" s="9" t="n">
        <v>3</v>
      </c>
      <c r="F24" s="9" t="n">
        <v>1</v>
      </c>
      <c r="G24" s="9" t="n">
        <v>1</v>
      </c>
      <c r="H24" s="9" t="inlineStr">
        <is>
          <t>d</t>
        </is>
      </c>
      <c r="I24" s="9" t="n">
        <v>3</v>
      </c>
      <c r="J24" s="9" t="inlineStr">
        <is>
          <t>s</t>
        </is>
      </c>
      <c r="K24" s="9" t="n">
        <v>3</v>
      </c>
      <c r="L24" s="9" t="inlineStr">
        <is>
          <t>s</t>
        </is>
      </c>
      <c r="M24" s="9">
        <f>LEFT(A24,2)&amp;LEFT(B24,1)&amp;TEXT(F24,"000")&amp;"-"&amp;(G24)&amp;H24&amp;(K24)&amp;L24</f>
        <v/>
      </c>
      <c r="N24" s="9" t="n">
        <v>3</v>
      </c>
      <c r="O24" s="2">
        <f>IF(
AND(G24="",H24="",I24="",J24="",K24="",L24=""),
"Fique atento para a primeira oportunidade que surgir",
IF(AND(G24=0,LOWER(H24)="d",K24=0,LOWER(L24)="d"),
"Fique atento para a primeira oportunidade que surgir",
IF(AND(G24=1,LOWER(H24)="d",K24=1,LOWER(L24)="d"),
"Pelo menos uma vez",
IF(G24=0,"O dia inteiro",IF(G24=1,"Uma vez",TEXT(G24,"0")&amp;" vezes")&amp;" por "&amp;IF(LOWER(H24)="d","dia","semana"))
&amp;IF(AND(ISNUMBER(I24),I24&gt;0),", a cada "&amp;TEXT(I24,"0")&amp;" "&amp;IF(I24=1,IF(LOWER(J24)="d","dia","semana"),IF(LOWER(J24)="d","dias","semanas"))&amp;",","")
&amp;" por um período de "&amp;TEXT(K24,"0")&amp;" "&amp;IF(K24=1,IF(LOWER(L24)="d","dia","semana"),IF(LOWER(L24)="d","dias","semanas"))
)
)
)</f>
        <v/>
      </c>
      <c r="P24" t="inlineStr">
        <is>
          <t>A03</t>
        </is>
      </c>
      <c r="Q24" t="inlineStr">
        <is>
          <t>A03O08</t>
        </is>
      </c>
      <c r="R24" t="inlineStr">
        <is>
          <t>Montar um plano de estudos realista</t>
        </is>
      </c>
      <c r="S24" t="n">
        <v>0.429</v>
      </c>
    </row>
    <row r="25">
      <c r="A25" s="2" t="inlineStr">
        <is>
          <t>Escola</t>
        </is>
      </c>
      <c r="B25" s="2" t="inlineStr">
        <is>
          <t>Avançado</t>
        </is>
      </c>
      <c r="C25" s="2" t="inlineStr">
        <is>
          <t>Executar 3 ciclos Pomodoro/dia por 5 dias seguidos.</t>
        </is>
      </c>
      <c r="D25" s="9" t="n">
        <v>3</v>
      </c>
      <c r="E25" s="9" t="n">
        <v>3</v>
      </c>
      <c r="F25" s="9" t="n">
        <v>2</v>
      </c>
      <c r="G25" s="9" t="n">
        <v>3</v>
      </c>
      <c r="H25" s="9" t="inlineStr">
        <is>
          <t>d</t>
        </is>
      </c>
      <c r="I25" s="9" t="n">
        <v>1</v>
      </c>
      <c r="J25" s="9" t="inlineStr">
        <is>
          <t>d</t>
        </is>
      </c>
      <c r="K25" s="9" t="n">
        <v>5</v>
      </c>
      <c r="L25" s="9" t="inlineStr">
        <is>
          <t>d</t>
        </is>
      </c>
      <c r="M25" s="9">
        <f>LEFT(A25,2)&amp;LEFT(B25,1)&amp;TEXT(F25,"000")&amp;"-"&amp;(G25)&amp;H25&amp;(K25)&amp;L25</f>
        <v/>
      </c>
      <c r="N25" s="9" t="n">
        <v>3</v>
      </c>
      <c r="O25" s="2">
        <f>IF(
AND(G25="",H25="",I25="",J25="",K25="",L25=""),
"Fique atento para a primeira oportunidade que surgir",
IF(AND(G25=0,LOWER(H25)="d",K25=0,LOWER(L25)="d"),
"Fique atento para a primeira oportunidade que surgir",
IF(AND(G25=1,LOWER(H25)="d",K25=1,LOWER(L25)="d"),
"Pelo menos uma vez",
IF(G25=0,"O dia inteiro",IF(G25=1,"Uma vez",TEXT(G25,"0")&amp;" vezes")&amp;" por "&amp;IF(LOWER(H25)="d","dia","semana"))
&amp;IF(AND(ISNUMBER(I25),I25&gt;0),", a cada "&amp;TEXT(I25,"0")&amp;" "&amp;IF(I25=1,IF(LOWER(J25)="d","dia","semana"),IF(LOWER(J25)="d","dias","semanas"))&amp;",","")
&amp;" por um período de "&amp;TEXT(K25,"0")&amp;" "&amp;IF(K25=1,IF(LOWER(L25)="d","dia","semana"),IF(LOWER(L25)="d","dias","semanas"))
)
)
)</f>
        <v/>
      </c>
      <c r="P25" t="inlineStr">
        <is>
          <t>A03</t>
        </is>
      </c>
      <c r="Q25" t="inlineStr">
        <is>
          <t>A03O01</t>
        </is>
      </c>
      <c r="R25" t="inlineStr">
        <is>
          <t>Organizar melhor meus estudos e prazos</t>
        </is>
      </c>
      <c r="S25" t="n">
        <v>0</v>
      </c>
    </row>
    <row r="26">
      <c r="A26" s="2" t="inlineStr">
        <is>
          <t>Escola</t>
        </is>
      </c>
      <c r="B26" s="2" t="inlineStr">
        <is>
          <t>Avançado</t>
        </is>
      </c>
      <c r="C26" s="2" t="inlineStr">
        <is>
          <t>Produzir resumos de 3 capítulos e mapas mentais completos.</t>
        </is>
      </c>
      <c r="D26" s="9" t="n">
        <v>3</v>
      </c>
      <c r="E26" s="9" t="n">
        <v>3</v>
      </c>
      <c r="F26" s="9" t="n">
        <v>3</v>
      </c>
      <c r="G26" s="9" t="n">
        <v>1</v>
      </c>
      <c r="H26" s="9" t="inlineStr">
        <is>
          <t>d</t>
        </is>
      </c>
      <c r="I26" s="9" t="n">
        <v>3</v>
      </c>
      <c r="J26" s="9" t="inlineStr">
        <is>
          <t>d</t>
        </is>
      </c>
      <c r="K26" s="9" t="n">
        <v>9</v>
      </c>
      <c r="L26" s="9" t="inlineStr">
        <is>
          <t>d</t>
        </is>
      </c>
      <c r="M26" s="9">
        <f>LEFT(A26,2)&amp;LEFT(B26,1)&amp;TEXT(F26,"000")&amp;"-"&amp;(G26)&amp;H26&amp;(K26)&amp;L26</f>
        <v/>
      </c>
      <c r="N26" s="9" t="n">
        <v>3</v>
      </c>
      <c r="O26" s="2">
        <f>IF(
AND(G26="",H26="",I26="",J26="",K26="",L26=""),
"Fique atento para a primeira oportunidade que surgir",
IF(AND(G26=0,LOWER(H26)="d",K26=0,LOWER(L26)="d"),
"Fique atento para a primeira oportunidade que surgir",
IF(AND(G26=1,LOWER(H26)="d",K26=1,LOWER(L26)="d"),
"Pelo menos uma vez",
IF(G26=0,"O dia inteiro",IF(G26=1,"Uma vez",TEXT(G26,"0")&amp;" vezes")&amp;" por "&amp;IF(LOWER(H26)="d","dia","semana"))
&amp;IF(AND(ISNUMBER(I26),I26&gt;0),", a cada "&amp;TEXT(I26,"0")&amp;" "&amp;IF(I26=1,IF(LOWER(J26)="d","dia","semana"),IF(LOWER(J26)="d","dias","semanas"))&amp;",","")
&amp;" por um período de "&amp;TEXT(K26,"0")&amp;" "&amp;IF(K26=1,IF(LOWER(L26)="d","dia","semana"),IF(LOWER(L26)="d","dias","semanas"))
)
)
)</f>
        <v/>
      </c>
      <c r="P26" t="inlineStr">
        <is>
          <t>A03</t>
        </is>
      </c>
      <c r="Q26" t="inlineStr">
        <is>
          <t>A03O01</t>
        </is>
      </c>
      <c r="R26" t="inlineStr">
        <is>
          <t>Organizar melhor meus estudos e prazos</t>
        </is>
      </c>
      <c r="S26" t="n">
        <v>0</v>
      </c>
    </row>
    <row r="27">
      <c r="A27" s="2" t="inlineStr">
        <is>
          <t>Escola</t>
        </is>
      </c>
      <c r="B27" s="2" t="inlineStr">
        <is>
          <t>Avançado</t>
        </is>
      </c>
      <c r="C27" s="2" t="inlineStr">
        <is>
          <t>Realizar 2 simulados completos com correção de erros.</t>
        </is>
      </c>
      <c r="D27" s="9" t="n">
        <v>3</v>
      </c>
      <c r="E27" s="9" t="n">
        <v>3</v>
      </c>
      <c r="F27" s="9" t="n">
        <v>4</v>
      </c>
      <c r="G27" s="9" t="n">
        <v>1</v>
      </c>
      <c r="H27" s="9" t="inlineStr">
        <is>
          <t>s</t>
        </is>
      </c>
      <c r="I27" s="9" t="n">
        <v>1</v>
      </c>
      <c r="J27" s="9" t="inlineStr">
        <is>
          <t>s</t>
        </is>
      </c>
      <c r="K27" s="9" t="n">
        <v>2</v>
      </c>
      <c r="L27" s="9" t="inlineStr">
        <is>
          <t>s</t>
        </is>
      </c>
      <c r="M27" s="9">
        <f>LEFT(A27,2)&amp;LEFT(B27,1)&amp;TEXT(F27,"000")&amp;"-"&amp;(G27)&amp;H27&amp;(K27)&amp;L27</f>
        <v/>
      </c>
      <c r="N27" s="9" t="n">
        <v>3</v>
      </c>
      <c r="O27" s="2">
        <f>IF(
AND(G27="",H27="",I27="",J27="",K27="",L27=""),
"Fique atento para a primeira oportunidade que surgir",
IF(AND(G27=0,LOWER(H27)="d",K27=0,LOWER(L27)="d"),
"Fique atento para a primeira oportunidade que surgir",
IF(AND(G27=1,LOWER(H27)="d",K27=1,LOWER(L27)="d"),
"Pelo menos uma vez",
IF(G27=0,"O dia inteiro",IF(G27=1,"Uma vez",TEXT(G27,"0")&amp;" vezes")&amp;" por "&amp;IF(LOWER(H27)="d","dia","semana"))
&amp;IF(AND(ISNUMBER(I27),I27&gt;0),", a cada "&amp;TEXT(I27,"0")&amp;" "&amp;IF(I27=1,IF(LOWER(J27)="d","dia","semana"),IF(LOWER(J27)="d","dias","semanas"))&amp;",","")
&amp;" por um período de "&amp;TEXT(K27,"0")&amp;" "&amp;IF(K27=1,IF(LOWER(L27)="d","dia","semana"),IF(LOWER(L27)="d","dias","semanas"))
)
)
)</f>
        <v/>
      </c>
      <c r="P27" t="inlineStr">
        <is>
          <t>A03</t>
        </is>
      </c>
      <c r="Q27" t="inlineStr">
        <is>
          <t>A03O01</t>
        </is>
      </c>
      <c r="R27" t="inlineStr">
        <is>
          <t>Organizar melhor meus estudos e prazos</t>
        </is>
      </c>
      <c r="S27" t="n">
        <v>0</v>
      </c>
    </row>
    <row r="28">
      <c r="A28" s="2" t="inlineStr">
        <is>
          <t>Escola</t>
        </is>
      </c>
      <c r="B28" s="2" t="inlineStr">
        <is>
          <t>Avançado</t>
        </is>
      </c>
      <c r="C28" s="2" t="inlineStr">
        <is>
          <t>Apresentar um seminário curto com slides originais na aula em classe, para colegas ou para os pais.</t>
        </is>
      </c>
      <c r="D28" s="9" t="n">
        <v>3</v>
      </c>
      <c r="E28" s="9" t="n">
        <v>3</v>
      </c>
      <c r="F28" s="9" t="n">
        <v>5</v>
      </c>
      <c r="G28" s="9" t="n">
        <v>1</v>
      </c>
      <c r="H28" s="9" t="inlineStr">
        <is>
          <t>s</t>
        </is>
      </c>
      <c r="I28" s="9" t="n"/>
      <c r="J28" s="9" t="n"/>
      <c r="K28" s="9" t="n">
        <v>1</v>
      </c>
      <c r="L28" s="9" t="inlineStr">
        <is>
          <t>s</t>
        </is>
      </c>
      <c r="M28" s="9">
        <f>LEFT(A28,2)&amp;LEFT(B28,1)&amp;TEXT(F28,"000")&amp;"-"&amp;(G28)&amp;H28&amp;(K28)&amp;L28</f>
        <v/>
      </c>
      <c r="N28" s="9" t="n">
        <v>3</v>
      </c>
      <c r="O28" s="2">
        <f>IF(
AND(G28="",H28="",I28="",J28="",K28="",L28=""),
"Fique atento para a primeira oportunidade que surgir",
IF(AND(G28=0,LOWER(H28)="d",K28=0,LOWER(L28)="d"),
"Fique atento para a primeira oportunidade que surgir",
IF(AND(G28=1,LOWER(H28)="d",K28=1,LOWER(L28)="d"),
"Pelo menos uma vez",
IF(G28=0,"O dia inteiro",IF(G28=1,"Uma vez",TEXT(G28,"0")&amp;" vezes")&amp;" por "&amp;IF(LOWER(H28)="d","dia","semana"))
&amp;IF(AND(ISNUMBER(I28),I28&gt;0),", a cada "&amp;TEXT(I28,"0")&amp;" "&amp;IF(I28=1,IF(LOWER(J28)="d","dia","semana"),IF(LOWER(J28)="d","dias","semanas"))&amp;",","")
&amp;" por um período de "&amp;TEXT(K28,"0")&amp;" "&amp;IF(K28=1,IF(LOWER(L28)="d","dia","semana"),IF(LOWER(L28)="d","dias","semanas"))
)
)
)</f>
        <v/>
      </c>
      <c r="P28" t="inlineStr">
        <is>
          <t>A03</t>
        </is>
      </c>
      <c r="Q28" t="inlineStr">
        <is>
          <t>A03O06</t>
        </is>
      </c>
      <c r="R28" t="inlineStr">
        <is>
          <t>Respeitar professores e colegas</t>
        </is>
      </c>
      <c r="S28" t="n">
        <v>0.091</v>
      </c>
    </row>
    <row r="29">
      <c r="A29" s="2" t="inlineStr">
        <is>
          <t>Escola</t>
        </is>
      </c>
      <c r="B29" s="2" t="inlineStr">
        <is>
          <t>Avançado</t>
        </is>
      </c>
      <c r="C29" s="2" t="inlineStr">
        <is>
          <t>Construir portfólio com melhores exercícios/projetos.</t>
        </is>
      </c>
      <c r="D29" s="9" t="n">
        <v>3</v>
      </c>
      <c r="E29" s="9" t="n">
        <v>3</v>
      </c>
      <c r="F29" s="9" t="n">
        <v>6</v>
      </c>
      <c r="G29" s="9" t="n">
        <v>1</v>
      </c>
      <c r="H29" s="9" t="inlineStr">
        <is>
          <t>s</t>
        </is>
      </c>
      <c r="I29" s="9" t="n">
        <v>1</v>
      </c>
      <c r="J29" s="9" t="inlineStr">
        <is>
          <t>s</t>
        </is>
      </c>
      <c r="K29" s="9" t="n">
        <v>2</v>
      </c>
      <c r="L29" s="9" t="inlineStr">
        <is>
          <t>s</t>
        </is>
      </c>
      <c r="M29" s="9">
        <f>LEFT(A29,2)&amp;LEFT(B29,1)&amp;TEXT(F29,"000")&amp;"-"&amp;(G29)&amp;H29&amp;(K29)&amp;L29</f>
        <v/>
      </c>
      <c r="N29" s="9" t="n">
        <v>3</v>
      </c>
      <c r="O29" s="2">
        <f>IF(
AND(G29="",H29="",I29="",J29="",K29="",L29=""),
"Fique atento para a primeira oportunidade que surgir",
IF(AND(G29=0,LOWER(H29)="d",K29=0,LOWER(L29)="d"),
"Fique atento para a primeira oportunidade que surgir",
IF(AND(G29=1,LOWER(H29)="d",K29=1,LOWER(L29)="d"),
"Pelo menos uma vez",
IF(G29=0,"O dia inteiro",IF(G29=1,"Uma vez",TEXT(G29,"0")&amp;" vezes")&amp;" por "&amp;IF(LOWER(H29)="d","dia","semana"))
&amp;IF(AND(ISNUMBER(I29),I29&gt;0),", a cada "&amp;TEXT(I29,"0")&amp;" "&amp;IF(I29=1,IF(LOWER(J29)="d","dia","semana"),IF(LOWER(J29)="d","dias","semanas"))&amp;",","")
&amp;" por um período de "&amp;TEXT(K29,"0")&amp;" "&amp;IF(K29=1,IF(LOWER(L29)="d","dia","semana"),IF(LOWER(L29)="d","dias","semanas"))
)
)
)</f>
        <v/>
      </c>
      <c r="P29" t="inlineStr">
        <is>
          <t>A03</t>
        </is>
      </c>
      <c r="Q29" t="inlineStr">
        <is>
          <t>A03O01</t>
        </is>
      </c>
      <c r="R29" t="inlineStr">
        <is>
          <t>Organizar melhor meus estudos e prazos</t>
        </is>
      </c>
      <c r="S29" t="n">
        <v>0</v>
      </c>
    </row>
    <row r="30">
      <c r="A30" s="2" t="inlineStr">
        <is>
          <t>Escola</t>
        </is>
      </c>
      <c r="B30" s="2" t="inlineStr">
        <is>
          <t>Avançado</t>
        </is>
      </c>
      <c r="C30" s="2" t="inlineStr">
        <is>
          <t>Solicitar e aplicar feedback de professor em trabalho.</t>
        </is>
      </c>
      <c r="D30" s="9" t="n">
        <v>3</v>
      </c>
      <c r="E30" s="9" t="n">
        <v>3</v>
      </c>
      <c r="F30" s="9" t="n">
        <v>7</v>
      </c>
      <c r="G30" s="9" t="n">
        <v>1</v>
      </c>
      <c r="H30" s="9" t="inlineStr">
        <is>
          <t>d</t>
        </is>
      </c>
      <c r="I30" s="9" t="n"/>
      <c r="J30" s="9" t="n"/>
      <c r="K30" s="9" t="n">
        <v>1</v>
      </c>
      <c r="L30" s="9" t="inlineStr">
        <is>
          <t>s</t>
        </is>
      </c>
      <c r="M30" s="9">
        <f>LEFT(A30,2)&amp;LEFT(B30,1)&amp;TEXT(F30,"000")&amp;"-"&amp;(G30)&amp;H30&amp;(K30)&amp;L30</f>
        <v/>
      </c>
      <c r="N30" s="9" t="n">
        <v>3</v>
      </c>
      <c r="O30" s="2">
        <f>IF(
AND(G30="",H30="",I30="",J30="",K30="",L30=""),
"Fique atento para a primeira oportunidade que surgir",
IF(AND(G30=0,LOWER(H30)="d",K30=0,LOWER(L30)="d"),
"Fique atento para a primeira oportunidade que surgir",
IF(AND(G30=1,LOWER(H30)="d",K30=1,LOWER(L30)="d"),
"Pelo menos uma vez",
IF(G30=0,"O dia inteiro",IF(G30=1,"Uma vez",TEXT(G30,"0")&amp;" vezes")&amp;" por "&amp;IF(LOWER(H30)="d","dia","semana"))
&amp;IF(AND(ISNUMBER(I30),I30&gt;0),", a cada "&amp;TEXT(I30,"0")&amp;" "&amp;IF(I30=1,IF(LOWER(J30)="d","dia","semana"),IF(LOWER(J30)="d","dias","semanas"))&amp;",","")
&amp;" por um período de "&amp;TEXT(K30,"0")&amp;" "&amp;IF(K30=1,IF(LOWER(L30)="d","dia","semana"),IF(LOWER(L30)="d","dias","semanas"))
)
)
)</f>
        <v/>
      </c>
      <c r="P30" t="inlineStr">
        <is>
          <t>A03</t>
        </is>
      </c>
      <c r="Q30" t="inlineStr">
        <is>
          <t>A03O01</t>
        </is>
      </c>
      <c r="R30" t="inlineStr">
        <is>
          <t>Organizar melhor meus estudos e prazos</t>
        </is>
      </c>
      <c r="S30" t="n">
        <v>0</v>
      </c>
    </row>
    <row r="31">
      <c r="A31" s="2" t="inlineStr">
        <is>
          <t>Escola</t>
        </is>
      </c>
      <c r="B31" s="2" t="inlineStr">
        <is>
          <t>Avançado</t>
        </is>
      </c>
      <c r="C31" s="2" t="inlineStr">
        <is>
          <t>Tutorar um colega por 3 encontros (30–45 min).</t>
        </is>
      </c>
      <c r="D31" s="9" t="n">
        <v>3</v>
      </c>
      <c r="E31" s="9" t="n">
        <v>3</v>
      </c>
      <c r="F31" s="9" t="n">
        <v>8</v>
      </c>
      <c r="G31" s="9" t="n">
        <v>1</v>
      </c>
      <c r="H31" s="9" t="inlineStr">
        <is>
          <t>d</t>
        </is>
      </c>
      <c r="I31" s="9" t="n">
        <v>3</v>
      </c>
      <c r="J31" s="9" t="inlineStr">
        <is>
          <t>d</t>
        </is>
      </c>
      <c r="K31" s="9" t="n">
        <v>9</v>
      </c>
      <c r="L31" s="9" t="inlineStr">
        <is>
          <t>d</t>
        </is>
      </c>
      <c r="M31" s="9">
        <f>LEFT(A31,2)&amp;LEFT(B31,1)&amp;TEXT(F31,"000")&amp;"-"&amp;(G31)&amp;H31&amp;(K31)&amp;L31</f>
        <v/>
      </c>
      <c r="N31" s="9" t="n">
        <v>3</v>
      </c>
      <c r="O31" s="2">
        <f>IF(
AND(G31="",H31="",I31="",J31="",K31="",L31=""),
"Fique atento para a primeira oportunidade que surgir",
IF(AND(G31=0,LOWER(H31)="d",K31=0,LOWER(L31)="d"),
"Fique atento para a primeira oportunidade que surgir",
IF(AND(G31=1,LOWER(H31)="d",K31=1,LOWER(L31)="d"),
"Pelo menos uma vez",
IF(G31=0,"O dia inteiro",IF(G31=1,"Uma vez",TEXT(G31,"0")&amp;" vezes")&amp;" por "&amp;IF(LOWER(H31)="d","dia","semana"))
&amp;IF(AND(ISNUMBER(I31),I31&gt;0),", a cada "&amp;TEXT(I31,"0")&amp;" "&amp;IF(I31=1,IF(LOWER(J31)="d","dia","semana"),IF(LOWER(J31)="d","dias","semanas"))&amp;",","")
&amp;" por um período de "&amp;TEXT(K31,"0")&amp;" "&amp;IF(K31=1,IF(LOWER(L31)="d","dia","semana"),IF(LOWER(L31)="d","dias","semanas"))
)
)
)</f>
        <v/>
      </c>
      <c r="P31" t="inlineStr">
        <is>
          <t>A03</t>
        </is>
      </c>
      <c r="Q31" t="inlineStr">
        <is>
          <t>A03O06</t>
        </is>
      </c>
      <c r="R31" t="inlineStr">
        <is>
          <t>Respeitar professores e colegas</t>
        </is>
      </c>
      <c r="S31" t="n">
        <v>0.167</v>
      </c>
    </row>
    <row r="32">
      <c r="A32" s="2" t="inlineStr">
        <is>
          <t>Escola</t>
        </is>
      </c>
      <c r="B32" s="2" t="inlineStr">
        <is>
          <t>Avançado</t>
        </is>
      </c>
      <c r="C32" s="2" t="inlineStr">
        <is>
          <t>Implementar técnica Feynman para 3 conceitos difíceis.</t>
        </is>
      </c>
      <c r="D32" s="9" t="n">
        <v>3</v>
      </c>
      <c r="E32" s="9" t="n">
        <v>3</v>
      </c>
      <c r="F32" s="9" t="n">
        <v>9</v>
      </c>
      <c r="G32" s="9" t="n">
        <v>1</v>
      </c>
      <c r="H32" s="9" t="inlineStr">
        <is>
          <t>d</t>
        </is>
      </c>
      <c r="I32" s="9" t="n">
        <v>2</v>
      </c>
      <c r="J32" s="9" t="inlineStr">
        <is>
          <t>d</t>
        </is>
      </c>
      <c r="K32" s="9" t="n">
        <v>1</v>
      </c>
      <c r="L32" s="9" t="inlineStr">
        <is>
          <t>s</t>
        </is>
      </c>
      <c r="M32" s="9">
        <f>LEFT(A32,2)&amp;LEFT(B32,1)&amp;TEXT(F32,"000")&amp;"-"&amp;(G32)&amp;H32&amp;(K32)&amp;L32</f>
        <v/>
      </c>
      <c r="N32" s="9" t="n">
        <v>3</v>
      </c>
      <c r="O32" s="2">
        <f>IF(
AND(G32="",H32="",I32="",J32="",K32="",L32=""),
"Fique atento para a primeira oportunidade que surgir",
IF(AND(G32=0,LOWER(H32)="d",K32=0,LOWER(L32)="d"),
"Fique atento para a primeira oportunidade que surgir",
IF(AND(G32=1,LOWER(H32)="d",K32=1,LOWER(L32)="d"),
"Pelo menos uma vez",
IF(G32=0,"O dia inteiro",IF(G32=1,"Uma vez",TEXT(G32,"0")&amp;" vezes")&amp;" por "&amp;IF(LOWER(H32)="d","dia","semana"))
&amp;IF(AND(ISNUMBER(I32),I32&gt;0),", a cada "&amp;TEXT(I32,"0")&amp;" "&amp;IF(I32=1,IF(LOWER(J32)="d","dia","semana"),IF(LOWER(J32)="d","dias","semanas"))&amp;",","")
&amp;" por um período de "&amp;TEXT(K32,"0")&amp;" "&amp;IF(K32=1,IF(LOWER(L32)="d","dia","semana"),IF(LOWER(L32)="d","dias","semanas"))
)
)
)</f>
        <v/>
      </c>
      <c r="P32" t="inlineStr">
        <is>
          <t>A03</t>
        </is>
      </c>
      <c r="Q32" t="inlineStr">
        <is>
          <t>A03O01</t>
        </is>
      </c>
      <c r="R32" t="inlineStr">
        <is>
          <t>Organizar melhor meus estudos e prazos</t>
        </is>
      </c>
      <c r="S32" t="n">
        <v>0</v>
      </c>
    </row>
    <row r="33">
      <c r="A33" s="2" t="inlineStr">
        <is>
          <t>Escola</t>
        </is>
      </c>
      <c r="B33" s="2" t="inlineStr">
        <is>
          <t>Avançado</t>
        </is>
      </c>
      <c r="C33" s="2" t="inlineStr">
        <is>
          <t>Elaborar formulário de autoavaliação semanal de estudos.</t>
        </is>
      </c>
      <c r="D33" s="9" t="n">
        <v>3</v>
      </c>
      <c r="E33" s="9" t="n">
        <v>3</v>
      </c>
      <c r="F33" s="9" t="n">
        <v>10</v>
      </c>
      <c r="G33" s="9" t="n">
        <v>1</v>
      </c>
      <c r="H33" s="9" t="inlineStr">
        <is>
          <t>s</t>
        </is>
      </c>
      <c r="I33" s="9" t="n">
        <v>1</v>
      </c>
      <c r="J33" s="9" t="inlineStr">
        <is>
          <t>s</t>
        </is>
      </c>
      <c r="K33" s="9" t="n">
        <v>4</v>
      </c>
      <c r="L33" s="9" t="inlineStr">
        <is>
          <t>s</t>
        </is>
      </c>
      <c r="M33" s="9">
        <f>LEFT(A33,2)&amp;LEFT(B33,1)&amp;TEXT(F33,"000")&amp;"-"&amp;(G33)&amp;H33&amp;(K33)&amp;L33</f>
        <v/>
      </c>
      <c r="N33" s="9" t="n">
        <v>3</v>
      </c>
      <c r="O33" s="2">
        <f>IF(
AND(G33="",H33="",I33="",J33="",K33="",L33=""),
"Fique atento para a primeira oportunidade que surgir",
IF(AND(G33=0,LOWER(H33)="d",K33=0,LOWER(L33)="d"),
"Fique atento para a primeira oportunidade que surgir",
IF(AND(G33=1,LOWER(H33)="d",K33=1,LOWER(L33)="d"),
"Pelo menos uma vez",
IF(G33=0,"O dia inteiro",IF(G33=1,"Uma vez",TEXT(G33,"0")&amp;" vezes")&amp;" por "&amp;IF(LOWER(H33)="d","dia","semana"))
&amp;IF(AND(ISNUMBER(I33),I33&gt;0),", a cada "&amp;TEXT(I33,"0")&amp;" "&amp;IF(I33=1,IF(LOWER(J33)="d","dia","semana"),IF(LOWER(J33)="d","dias","semanas"))&amp;",","")
&amp;" por um período de "&amp;TEXT(K33,"0")&amp;" "&amp;IF(K33=1,IF(LOWER(L33)="d","dia","semana"),IF(LOWER(L33)="d","dias","semanas"))
)
)
)</f>
        <v/>
      </c>
      <c r="P33" t="inlineStr">
        <is>
          <t>A03</t>
        </is>
      </c>
      <c r="Q33" t="inlineStr">
        <is>
          <t>A03O08</t>
        </is>
      </c>
      <c r="R33" t="inlineStr">
        <is>
          <t>Montar um plano de estudos realista</t>
        </is>
      </c>
      <c r="S33" t="n">
        <v>0.125</v>
      </c>
    </row>
    <row r="34">
      <c r="A34" s="2" t="inlineStr">
        <is>
          <t>Escola</t>
        </is>
      </c>
      <c r="B34" s="2" t="inlineStr">
        <is>
          <t>Avançado</t>
        </is>
      </c>
      <c r="C34" s="2" t="inlineStr">
        <is>
          <t>Fazer revisão espaçada (SRS) por 21 dias.</t>
        </is>
      </c>
      <c r="D34" s="9" t="n">
        <v>3</v>
      </c>
      <c r="E34" s="9" t="n">
        <v>3</v>
      </c>
      <c r="F34" s="9" t="n">
        <v>11</v>
      </c>
      <c r="G34" s="9" t="n">
        <v>1</v>
      </c>
      <c r="H34" s="9" t="inlineStr">
        <is>
          <t>d</t>
        </is>
      </c>
      <c r="I34" s="9" t="n">
        <v>1</v>
      </c>
      <c r="J34" s="9" t="inlineStr">
        <is>
          <t>d</t>
        </is>
      </c>
      <c r="K34" s="9" t="n">
        <v>21</v>
      </c>
      <c r="L34" s="9" t="inlineStr">
        <is>
          <t>d</t>
        </is>
      </c>
      <c r="M34" s="9">
        <f>LEFT(A34,2)&amp;LEFT(B34,1)&amp;TEXT(F34,"000")&amp;"-"&amp;(G34)&amp;H34&amp;(K34)&amp;L34</f>
        <v/>
      </c>
      <c r="N34" s="9" t="n">
        <v>3</v>
      </c>
      <c r="O34" s="2">
        <f>IF(
AND(G34="",H34="",I34="",J34="",K34="",L34=""),
"Fique atento para a primeira oportunidade que surgir",
IF(AND(G34=0,LOWER(H34)="d",K34=0,LOWER(L34)="d"),
"Fique atento para a primeira oportunidade que surgir",
IF(AND(G34=1,LOWER(H34)="d",K34=1,LOWER(L34)="d"),
"Pelo menos uma vez",
IF(G34=0,"O dia inteiro",IF(G34=1,"Uma vez",TEXT(G34,"0")&amp;" vezes")&amp;" por "&amp;IF(LOWER(H34)="d","dia","semana"))
&amp;IF(AND(ISNUMBER(I34),I34&gt;0),", a cada "&amp;TEXT(I34,"0")&amp;" "&amp;IF(I34=1,IF(LOWER(J34)="d","dia","semana"),IF(LOWER(J34)="d","dias","semanas"))&amp;",","")
&amp;" por um período de "&amp;TEXT(K34,"0")&amp;" "&amp;IF(K34=1,IF(LOWER(L34)="d","dia","semana"),IF(LOWER(L34)="d","dias","semanas"))
)
)
)</f>
        <v/>
      </c>
      <c r="P34" t="inlineStr">
        <is>
          <t>A03</t>
        </is>
      </c>
      <c r="Q34" t="inlineStr">
        <is>
          <t>A03O01</t>
        </is>
      </c>
      <c r="R34" t="inlineStr">
        <is>
          <t>Organizar melhor meus estudos e prazos</t>
        </is>
      </c>
      <c r="S34" t="n">
        <v>0</v>
      </c>
    </row>
    <row r="35">
      <c r="A35" s="2" t="inlineStr">
        <is>
          <t>Escola</t>
        </is>
      </c>
      <c r="B35" s="2" t="inlineStr">
        <is>
          <t>Avançado</t>
        </is>
      </c>
      <c r="C35" s="2" t="inlineStr">
        <is>
          <t>Criar guia de prova com questões-chave e gabarito comentado.</t>
        </is>
      </c>
      <c r="D35" s="9" t="n">
        <v>3</v>
      </c>
      <c r="E35" s="9" t="n">
        <v>3</v>
      </c>
      <c r="F35" s="9" t="n">
        <v>12</v>
      </c>
      <c r="G35" s="9" t="n">
        <v>1</v>
      </c>
      <c r="H35" s="9" t="inlineStr">
        <is>
          <t>s</t>
        </is>
      </c>
      <c r="I35" s="9" t="n">
        <v>2</v>
      </c>
      <c r="J35" s="9" t="inlineStr">
        <is>
          <t>s</t>
        </is>
      </c>
      <c r="K35" s="9" t="n">
        <v>4</v>
      </c>
      <c r="L35" s="9" t="inlineStr">
        <is>
          <t>s</t>
        </is>
      </c>
      <c r="M35" s="9">
        <f>LEFT(A35,2)&amp;LEFT(B35,1)&amp;TEXT(F35,"000")&amp;"-"&amp;(G35)&amp;H35&amp;(K35)&amp;L35</f>
        <v/>
      </c>
      <c r="N35" s="9" t="n">
        <v>3</v>
      </c>
      <c r="O35" s="2">
        <f>IF(
AND(G35="",H35="",I35="",J35="",K35="",L35=""),
"Fique atento para a primeira oportunidade que surgir",
IF(AND(G35=0,LOWER(H35)="d",K35=0,LOWER(L35)="d"),
"Fique atento para a primeira oportunidade que surgir",
IF(AND(G35=1,LOWER(H35)="d",K35=1,LOWER(L35)="d"),
"Pelo menos uma vez",
IF(G35=0,"O dia inteiro",IF(G35=1,"Uma vez",TEXT(G35,"0")&amp;" vezes")&amp;" por "&amp;IF(LOWER(H35)="d","dia","semana"))
&amp;IF(AND(ISNUMBER(I35),I35&gt;0),", a cada "&amp;TEXT(I35,"0")&amp;" "&amp;IF(I35=1,IF(LOWER(J35)="d","dia","semana"),IF(LOWER(J35)="d","dias","semanas"))&amp;",","")
&amp;" por um período de "&amp;TEXT(K35,"0")&amp;" "&amp;IF(K35=1,IF(LOWER(L35)="d","dia","semana"),IF(LOWER(L35)="d","dias","semanas"))
)
)
)</f>
        <v/>
      </c>
      <c r="P35" t="inlineStr">
        <is>
          <t>A03</t>
        </is>
      </c>
      <c r="Q35" t="inlineStr">
        <is>
          <t>A03O01</t>
        </is>
      </c>
      <c r="R35" t="inlineStr">
        <is>
          <t>Organizar melhor meus estudos e prazos</t>
        </is>
      </c>
      <c r="S35" t="n">
        <v>0</v>
      </c>
    </row>
    <row r="36">
      <c r="A36" s="2" t="inlineStr">
        <is>
          <t>Escola</t>
        </is>
      </c>
      <c r="B36" s="2" t="inlineStr">
        <is>
          <t>Avançado</t>
        </is>
      </c>
      <c r="C36" s="2" t="inlineStr">
        <is>
          <t>Manter rotina de sono e alimentação focada no aprendizado.</t>
        </is>
      </c>
      <c r="D36" s="9" t="n">
        <v>3</v>
      </c>
      <c r="E36" s="9" t="n">
        <v>3</v>
      </c>
      <c r="F36" s="9" t="n">
        <v>13</v>
      </c>
      <c r="G36" s="9" t="n">
        <v>0</v>
      </c>
      <c r="H36" s="9" t="inlineStr">
        <is>
          <t>d</t>
        </is>
      </c>
      <c r="I36" s="9" t="n">
        <v>1</v>
      </c>
      <c r="J36" s="9" t="inlineStr">
        <is>
          <t>d</t>
        </is>
      </c>
      <c r="K36" s="9" t="n">
        <v>4</v>
      </c>
      <c r="L36" s="9" t="inlineStr">
        <is>
          <t>s</t>
        </is>
      </c>
      <c r="M36" s="9">
        <f>LEFT(A36,2)&amp;LEFT(B36,1)&amp;TEXT(F36,"000")&amp;"-"&amp;(G36)&amp;H36&amp;(K36)&amp;L36</f>
        <v/>
      </c>
      <c r="N36" s="9" t="n">
        <v>3</v>
      </c>
      <c r="O36" s="2">
        <f>IF(
AND(G36="",H36="",I36="",J36="",K36="",L36=""),
"Fique atento para a primeira oportunidade que surgir",
IF(AND(G36=0,LOWER(H36)="d",K36=0,LOWER(L36)="d"),
"Fique atento para a primeira oportunidade que surgir",
IF(AND(G36=1,LOWER(H36)="d",K36=1,LOWER(L36)="d"),
"Pelo menos uma vez",
IF(G36=0,"O dia inteiro",IF(G36=1,"Uma vez",TEXT(G36,"0")&amp;" vezes")&amp;" por "&amp;IF(LOWER(H36)="d","dia","semana"))
&amp;IF(AND(ISNUMBER(I36),I36&gt;0),", a cada "&amp;TEXT(I36,"0")&amp;" "&amp;IF(I36=1,IF(LOWER(J36)="d","dia","semana"),IF(LOWER(J36)="d","dias","semanas"))&amp;",","")
&amp;" por um período de "&amp;TEXT(K36,"0")&amp;" "&amp;IF(K36=1,IF(LOWER(L36)="d","dia","semana"),IF(LOWER(L36)="d","dias","semanas"))
)
)
)</f>
        <v/>
      </c>
      <c r="P36" t="inlineStr">
        <is>
          <t>A03</t>
        </is>
      </c>
      <c r="Q36" t="inlineStr">
        <is>
          <t>A03O01</t>
        </is>
      </c>
      <c r="R36" t="inlineStr">
        <is>
          <t>Organizar melhor meus estudos e prazos</t>
        </is>
      </c>
      <c r="S36" t="n">
        <v>0</v>
      </c>
    </row>
    <row r="37">
      <c r="A37" s="2" t="inlineStr">
        <is>
          <t>Escola</t>
        </is>
      </c>
      <c r="B37" s="2" t="inlineStr">
        <is>
          <t>Avançado</t>
        </is>
      </c>
      <c r="C37" s="2" t="inlineStr">
        <is>
          <t>Estudar em ambiente controlado (sem distrações) por 2 semanas.</t>
        </is>
      </c>
      <c r="D37" s="9" t="n">
        <v>3</v>
      </c>
      <c r="E37" s="9" t="n">
        <v>3</v>
      </c>
      <c r="F37" s="9" t="n">
        <v>14</v>
      </c>
      <c r="G37" s="9" t="n">
        <v>1</v>
      </c>
      <c r="H37" s="9" t="inlineStr">
        <is>
          <t>d</t>
        </is>
      </c>
      <c r="I37" s="9" t="n">
        <v>1</v>
      </c>
      <c r="J37" s="9" t="inlineStr">
        <is>
          <t>d</t>
        </is>
      </c>
      <c r="K37" s="9" t="n">
        <v>2</v>
      </c>
      <c r="L37" s="9" t="inlineStr">
        <is>
          <t>s</t>
        </is>
      </c>
      <c r="M37" s="9">
        <f>LEFT(A37,2)&amp;LEFT(B37,1)&amp;TEXT(F37,"000")&amp;"-"&amp;(G37)&amp;H37&amp;(K37)&amp;L37</f>
        <v/>
      </c>
      <c r="N37" s="9" t="n">
        <v>3</v>
      </c>
      <c r="O37" s="2">
        <f>IF(
AND(G37="",H37="",I37="",J37="",K37="",L37=""),
"Fique atento para a primeira oportunidade que surgir",
IF(AND(G37=0,LOWER(H37)="d",K37=0,LOWER(L37)="d"),
"Fique atento para a primeira oportunidade que surgir",
IF(AND(G37=1,LOWER(H37)="d",K37=1,LOWER(L37)="d"),
"Pelo menos uma vez",
IF(G37=0,"O dia inteiro",IF(G37=1,"Uma vez",TEXT(G37,"0")&amp;" vezes")&amp;" por "&amp;IF(LOWER(H37)="d","dia","semana"))
&amp;IF(AND(ISNUMBER(I37),I37&gt;0),", a cada "&amp;TEXT(I37,"0")&amp;" "&amp;IF(I37=1,IF(LOWER(J37)="d","dia","semana"),IF(LOWER(J37)="d","dias","semanas"))&amp;",","")
&amp;" por um período de "&amp;TEXT(K37,"0")&amp;" "&amp;IF(K37=1,IF(LOWER(L37)="d","dia","semana"),IF(LOWER(L37)="d","dias","semanas"))
)
)
)</f>
        <v/>
      </c>
      <c r="P37" t="inlineStr">
        <is>
          <t>A03</t>
        </is>
      </c>
      <c r="Q37" t="inlineStr">
        <is>
          <t>A03O07</t>
        </is>
      </c>
      <c r="R37" t="inlineStr">
        <is>
          <t>Evitar distrações em sala de aula</t>
        </is>
      </c>
      <c r="S37" t="n">
        <v>0.125</v>
      </c>
    </row>
    <row r="38">
      <c r="A38" s="2" t="inlineStr">
        <is>
          <t>Escola</t>
        </is>
      </c>
      <c r="B38" s="2" t="inlineStr">
        <is>
          <t>Avançado</t>
        </is>
      </c>
      <c r="C38" s="2" t="inlineStr">
        <is>
          <t>Praticar escrita acadêmica: introdução, desenvolvimento, conclusão.</t>
        </is>
      </c>
      <c r="D38" s="9" t="n">
        <v>3</v>
      </c>
      <c r="E38" s="9" t="n">
        <v>3</v>
      </c>
      <c r="F38" s="9" t="n">
        <v>15</v>
      </c>
      <c r="G38" s="9" t="n">
        <v>1</v>
      </c>
      <c r="H38" s="9" t="inlineStr">
        <is>
          <t>d</t>
        </is>
      </c>
      <c r="I38" s="9" t="n">
        <v>1</v>
      </c>
      <c r="J38" s="9" t="inlineStr">
        <is>
          <t>d</t>
        </is>
      </c>
      <c r="K38" s="9" t="n">
        <v>6</v>
      </c>
      <c r="L38" s="9" t="inlineStr">
        <is>
          <t>s</t>
        </is>
      </c>
      <c r="M38" s="9">
        <f>LEFT(A38,2)&amp;LEFT(B38,1)&amp;TEXT(F38,"000")&amp;"-"&amp;(G38)&amp;H38&amp;(K38)&amp;L38</f>
        <v/>
      </c>
      <c r="N38" s="9" t="n">
        <v>3</v>
      </c>
      <c r="O38" s="2">
        <f>IF(
AND(G38="",H38="",I38="",J38="",K38="",L38=""),
"Fique atento para a primeira oportunidade que surgir",
IF(AND(G38=0,LOWER(H38)="d",K38=0,LOWER(L38)="d"),
"Fique atento para a primeira oportunidade que surgir",
IF(AND(G38=1,LOWER(H38)="d",K38=1,LOWER(L38)="d"),
"Pelo menos uma vez",
IF(G38=0,"O dia inteiro",IF(G38=1,"Uma vez",TEXT(G38,"0")&amp;" vezes")&amp;" por "&amp;IF(LOWER(H38)="d","dia","semana"))
&amp;IF(AND(ISNUMBER(I38),I38&gt;0),", a cada "&amp;TEXT(I38,"0")&amp;" "&amp;IF(I38=1,IF(LOWER(J38)="d","dia","semana"),IF(LOWER(J38)="d","dias","semanas"))&amp;",","")
&amp;" por um período de "&amp;TEXT(K38,"0")&amp;" "&amp;IF(K38=1,IF(LOWER(L38)="d","dia","semana"),IF(LOWER(L38)="d","dias","semanas"))
)
)
)</f>
        <v/>
      </c>
      <c r="P38" t="inlineStr">
        <is>
          <t>A03</t>
        </is>
      </c>
      <c r="Q38" t="inlineStr">
        <is>
          <t>A03O01</t>
        </is>
      </c>
      <c r="R38" t="inlineStr">
        <is>
          <t>Organizar melhor meus estudos e prazos</t>
        </is>
      </c>
      <c r="S38" t="n">
        <v>0</v>
      </c>
    </row>
  </sheetData>
  <dataValidations disablePrompts="1" count="1">
    <dataValidation sqref="I2:I1036 K2:K1036 G2:G1036" showErrorMessage="1" showInputMessage="1" allowBlank="1" errorTitle="Número inválido" error="Informe um número inteiro maior ou igual a 0" type="whole" operator="greaterThanOrEqual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zoomScale="90" zoomScaleNormal="90" workbookViewId="0">
      <pane ySplit="1" topLeftCell="A2" activePane="bottomLeft" state="frozen"/>
      <selection pane="bottomLeft" activeCell="K8" sqref="K8"/>
    </sheetView>
  </sheetViews>
  <sheetFormatPr baseColWidth="8" defaultRowHeight="15"/>
  <cols>
    <col width="10.140625" bestFit="1" customWidth="1" min="1" max="1"/>
    <col width="11.85546875" customWidth="1" min="2" max="2"/>
    <col width="59" bestFit="1" customWidth="1" min="3" max="3"/>
    <col width="4.28515625" bestFit="1" customWidth="1" style="10" min="4" max="9"/>
    <col width="12.42578125" bestFit="1" customWidth="1" style="10" min="10" max="10"/>
    <col width="4.28515625" bestFit="1" customWidth="1" style="10" min="11" max="12"/>
    <col width="13.85546875" bestFit="1" customWidth="1" style="10" min="13" max="13"/>
    <col width="4.28515625" bestFit="1" customWidth="1" style="10" min="14" max="14"/>
    <col width="81.85546875" bestFit="1" customWidth="1" min="15" max="15"/>
  </cols>
  <sheetData>
    <row r="1" ht="109.5" customHeight="1">
      <c r="A1" s="11" t="inlineStr">
        <is>
          <t>Area</t>
        </is>
      </c>
      <c r="B1" s="11" t="inlineStr">
        <is>
          <t>Nivel</t>
        </is>
      </c>
      <c r="C1" s="11" t="inlineStr">
        <is>
          <t>Estrategia</t>
        </is>
      </c>
      <c r="D1" s="11" t="inlineStr">
        <is>
          <t>OrdemArea</t>
        </is>
      </c>
      <c r="E1" s="11" t="inlineStr">
        <is>
          <t>OrdemNivel</t>
        </is>
      </c>
      <c r="F1" s="11" t="inlineStr">
        <is>
          <t>OrdemEstrategia</t>
        </is>
      </c>
      <c r="G1" s="11" t="inlineStr">
        <is>
          <t>FreqNum</t>
        </is>
      </c>
      <c r="H1" s="11" t="inlineStr">
        <is>
          <t>FreqUnid</t>
        </is>
      </c>
      <c r="I1" s="11" t="inlineStr">
        <is>
          <t>CadenciaNum</t>
        </is>
      </c>
      <c r="J1" s="11" t="inlineStr">
        <is>
          <t>CadenciaUnid</t>
        </is>
      </c>
      <c r="K1" s="11" t="inlineStr">
        <is>
          <t>PeriodoNum</t>
        </is>
      </c>
      <c r="L1" s="11" t="inlineStr">
        <is>
          <t>PeriodoUnid</t>
        </is>
      </c>
      <c r="M1" s="11" t="inlineStr">
        <is>
          <t>CODIGO</t>
        </is>
      </c>
      <c r="N1" s="11" t="inlineStr">
        <is>
          <t>Peso</t>
        </is>
      </c>
      <c r="O1" s="13" t="inlineStr">
        <is>
          <t>Descrição da Dosagem</t>
        </is>
      </c>
      <c r="P1" t="inlineStr">
        <is>
          <t>CodArea</t>
        </is>
      </c>
      <c r="Q1" t="inlineStr">
        <is>
          <t>CodObjetivoSugerido</t>
        </is>
      </c>
      <c r="R1" t="inlineStr">
        <is>
          <t>DescObjetivoSugerida</t>
        </is>
      </c>
      <c r="S1" t="inlineStr">
        <is>
          <t>ScoreAlinhamento</t>
        </is>
      </c>
    </row>
    <row r="2">
      <c r="A2" s="2" t="inlineStr">
        <is>
          <t>Eu mesmo</t>
        </is>
      </c>
      <c r="B2" s="2" t="inlineStr">
        <is>
          <t>Básico</t>
        </is>
      </c>
      <c r="C2" s="2" t="inlineStr">
        <is>
          <t>Anotar três coisas boas do meu dia.</t>
        </is>
      </c>
      <c r="D2" s="9" t="n">
        <v>6</v>
      </c>
      <c r="E2" s="9" t="n">
        <v>1</v>
      </c>
      <c r="F2" s="9" t="n">
        <v>6</v>
      </c>
      <c r="G2" s="9" t="n">
        <v>1</v>
      </c>
      <c r="H2" s="9" t="inlineStr">
        <is>
          <t>d</t>
        </is>
      </c>
      <c r="I2" s="9" t="n">
        <v>3</v>
      </c>
      <c r="J2" s="9" t="inlineStr">
        <is>
          <t>d</t>
        </is>
      </c>
      <c r="K2" s="9" t="n">
        <v>3</v>
      </c>
      <c r="L2" s="9" t="inlineStr">
        <is>
          <t>s</t>
        </is>
      </c>
      <c r="M2" s="9">
        <f>LEFT(A2,2)&amp;LEFT(B2,1)&amp;TEXT(F2,"000")&amp;"-"&amp;(G2)&amp;H2&amp;(K2)&amp;L2</f>
        <v/>
      </c>
      <c r="N2" s="9" t="n">
        <v>1</v>
      </c>
      <c r="O2" s="2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/>
      </c>
      <c r="P2" t="inlineStr">
        <is>
          <t>A06</t>
        </is>
      </c>
      <c r="Q2" t="inlineStr">
        <is>
          <t>A06O03</t>
        </is>
      </c>
      <c r="R2" t="inlineStr">
        <is>
          <t>Controlar meu tempo no celular e redes</t>
        </is>
      </c>
      <c r="S2" t="n">
        <v>0.1</v>
      </c>
    </row>
    <row r="3">
      <c r="A3" s="2" t="inlineStr">
        <is>
          <t>Eu mesmo</t>
        </is>
      </c>
      <c r="B3" s="2" t="inlineStr">
        <is>
          <t>Desafio</t>
        </is>
      </c>
      <c r="C3" s="2" t="inlineStr">
        <is>
          <t>Aprender uma técnica de respiração e praticar 10 minutos.</t>
        </is>
      </c>
      <c r="D3" s="9" t="n">
        <v>6</v>
      </c>
      <c r="E3" s="9" t="n">
        <v>2</v>
      </c>
      <c r="F3" s="9" t="n">
        <v>7</v>
      </c>
      <c r="G3" s="9" t="n">
        <v>1</v>
      </c>
      <c r="H3" s="9" t="inlineStr">
        <is>
          <t>d</t>
        </is>
      </c>
      <c r="I3" s="9" t="n"/>
      <c r="J3" s="9" t="n"/>
      <c r="K3" s="9" t="n">
        <v>4</v>
      </c>
      <c r="L3" s="9" t="inlineStr">
        <is>
          <t>s</t>
        </is>
      </c>
      <c r="M3" s="9">
        <f>LEFT(A3,2)&amp;LEFT(B3,1)&amp;TEXT(F3,"000")&amp;"-"&amp;(G3)&amp;H3&amp;(K3)&amp;L3</f>
        <v/>
      </c>
      <c r="N3" s="9" t="n">
        <v>2</v>
      </c>
      <c r="O3" s="2">
        <f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/>
      </c>
      <c r="P3" t="inlineStr">
        <is>
          <t>A06</t>
        </is>
      </c>
      <c r="Q3" t="inlineStr">
        <is>
          <t>A06O04</t>
        </is>
      </c>
      <c r="R3" t="inlineStr">
        <is>
          <t>Aprender a lidar com minhas emoções</t>
        </is>
      </c>
      <c r="S3" t="n">
        <v>0.125</v>
      </c>
    </row>
    <row r="4">
      <c r="A4" s="2" t="inlineStr">
        <is>
          <t>Eu mesmo</t>
        </is>
      </c>
      <c r="B4" s="2" t="inlineStr">
        <is>
          <t>Básico</t>
        </is>
      </c>
      <c r="C4" s="2" t="inlineStr">
        <is>
          <t>Arrumar minha cama ao acordar.</t>
        </is>
      </c>
      <c r="D4" s="9" t="n">
        <v>6</v>
      </c>
      <c r="E4" s="9" t="n">
        <v>1</v>
      </c>
      <c r="F4" s="9" t="n">
        <v>1</v>
      </c>
      <c r="G4" s="9" t="n">
        <v>1</v>
      </c>
      <c r="H4" s="9" t="inlineStr">
        <is>
          <t>d</t>
        </is>
      </c>
      <c r="I4" s="9" t="n"/>
      <c r="J4" s="9" t="n"/>
      <c r="K4" s="9" t="n">
        <v>3</v>
      </c>
      <c r="L4" s="9" t="inlineStr">
        <is>
          <t>s</t>
        </is>
      </c>
      <c r="M4" s="9">
        <f>LEFT(A4,2)&amp;LEFT(B4,1)&amp;TEXT(F4,"000")&amp;"-"&amp;(G4)&amp;H4&amp;(K4)&amp;L4</f>
        <v/>
      </c>
      <c r="N4" s="9" t="n">
        <v>1</v>
      </c>
      <c r="O4" s="2">
        <f>IF(
AND(G4="",H4="",I4="",J4="",K4="",L4=""),
"Fique atento para a primeira oportunidade que surgir",
IF(AND(G4=0,LOWER(H4)="d",K4=0,LOWER(L4)="d"),
"Fique atento para a primeira oportunidade que surgir",
IF(AND(G4=1,LOWER(H4)="d",K4=1,LOWER(L4)="d"),
"Pelo menos uma vez",
IF(G4=0,"O dia inteiro",IF(G4=1,"Uma vez",TEXT(G4,"0")&amp;" vezes")&amp;" por "&amp;IF(LOWER(H4)="d","dia","semana"))
&amp;IF(AND(ISNUMBER(I4),I4&gt;0),", a cada "&amp;TEXT(I4,"0")&amp;" "&amp;IF(I4=1,IF(LOWER(J4)="d","dia","semana"),IF(LOWER(J4)="d","dias","semanas"))&amp;",","")
&amp;" por um período de "&amp;TEXT(K4,"0")&amp;" "&amp;IF(K4=1,IF(LOWER(L4)="d","dia","semana"),IF(LOWER(L4)="d","dias","semanas"))
)
)
)</f>
        <v/>
      </c>
      <c r="P4" t="inlineStr">
        <is>
          <t>A06</t>
        </is>
      </c>
      <c r="Q4" t="inlineStr">
        <is>
          <t>A06O02</t>
        </is>
      </c>
      <c r="R4" t="inlineStr">
        <is>
          <t>Cuidar da minha saúde física</t>
        </is>
      </c>
      <c r="S4" t="n">
        <v>0.143</v>
      </c>
    </row>
    <row r="5">
      <c r="A5" s="2" t="inlineStr">
        <is>
          <t>Eu mesmo</t>
        </is>
      </c>
      <c r="B5" s="2" t="inlineStr">
        <is>
          <t>Avançado</t>
        </is>
      </c>
      <c r="C5" s="2" t="inlineStr">
        <is>
          <t>Completar rotina de exercícios 5x/semana por 3 semanas.</t>
        </is>
      </c>
      <c r="D5" s="9" t="n">
        <v>6</v>
      </c>
      <c r="E5" s="9" t="n">
        <v>3</v>
      </c>
      <c r="F5" s="9" t="n">
        <v>1</v>
      </c>
      <c r="G5" s="9" t="n">
        <v>5</v>
      </c>
      <c r="H5" s="9" t="inlineStr">
        <is>
          <t>s</t>
        </is>
      </c>
      <c r="I5" s="9" t="n"/>
      <c r="J5" s="9" t="n"/>
      <c r="K5" s="9" t="n">
        <v>4</v>
      </c>
      <c r="L5" s="9" t="inlineStr">
        <is>
          <t>s</t>
        </is>
      </c>
      <c r="M5" s="9">
        <f>LEFT(A5,2)&amp;LEFT(B5,1)&amp;TEXT(F5,"000")&amp;"-"&amp;(G5)&amp;H5&amp;(K5)&amp;L5</f>
        <v/>
      </c>
      <c r="N5" s="9" t="n">
        <v>3</v>
      </c>
      <c r="O5" s="2">
        <f>IF(
AND(G5="",H5="",I5="",J5="",K5="",L5=""),
"Fique atento para a primeira oportunidade que surgir",
IF(AND(G5=0,LOWER(H5)="d",K5=0,LOWER(L5)="d"),
"Fique atento para a primeira oportunidade que surgir",
IF(AND(G5=1,LOWER(H5)="d",K5=1,LOWER(L5)="d"),
"Pelo menos uma vez",
IF(G5=0,"O dia inteiro",IF(G5=1,"Uma vez",TEXT(G5,"0")&amp;" vezes")&amp;" por "&amp;IF(LOWER(H5)="d","dia","semana"))
&amp;IF(AND(ISNUMBER(I5),I5&gt;0),", a cada "&amp;TEXT(I5,"0")&amp;" "&amp;IF(I5=1,IF(LOWER(J5)="d","dia","semana"),IF(LOWER(J5)="d","dias","semanas"))&amp;",","")
&amp;" por um período de "&amp;TEXT(K5,"0")&amp;" "&amp;IF(K5=1,IF(LOWER(L5)="d","dia","semana"),IF(LOWER(L5)="d","dias","semanas"))
)
)
)</f>
        <v/>
      </c>
      <c r="P5" t="inlineStr">
        <is>
          <t>A06</t>
        </is>
      </c>
      <c r="Q5" t="inlineStr">
        <is>
          <t>A06O01</t>
        </is>
      </c>
      <c r="R5" t="inlineStr">
        <is>
          <t>Me conhecer melhor e valorizar minhas qualidades</t>
        </is>
      </c>
      <c r="S5" t="n">
        <v>0</v>
      </c>
    </row>
    <row r="6">
      <c r="A6" s="2" t="inlineStr">
        <is>
          <t>Eu mesmo</t>
        </is>
      </c>
      <c r="B6" s="2" t="inlineStr">
        <is>
          <t>Avançado</t>
        </is>
      </c>
      <c r="C6" s="2" t="inlineStr">
        <is>
          <t>Criar e seguir rotina matinal e noturna consistentes.</t>
        </is>
      </c>
      <c r="D6" s="9" t="n">
        <v>6</v>
      </c>
      <c r="E6" s="9" t="n">
        <v>3</v>
      </c>
      <c r="F6" s="9" t="n">
        <v>6</v>
      </c>
      <c r="G6" s="9" t="n">
        <v>1</v>
      </c>
      <c r="H6" s="9" t="inlineStr">
        <is>
          <t>d</t>
        </is>
      </c>
      <c r="I6" s="9" t="n"/>
      <c r="J6" s="9" t="n"/>
      <c r="K6" s="9" t="n">
        <v>4</v>
      </c>
      <c r="L6" s="9" t="inlineStr">
        <is>
          <t>s</t>
        </is>
      </c>
      <c r="M6" s="9">
        <f>LEFT(A6,2)&amp;LEFT(B6,1)&amp;TEXT(F6,"000")&amp;"-"&amp;(G6)&amp;H6&amp;(K6)&amp;L6</f>
        <v/>
      </c>
      <c r="N6" s="9" t="n">
        <v>3</v>
      </c>
      <c r="O6" s="2">
        <f>IF(
AND(G6="",H6="",I6="",J6="",K6="",L6=""),
"Fique atento para a primeira oportunidade que surgir",
IF(AND(G6=0,LOWER(H6)="d",K6=0,LOWER(L6)="d"),
"Fique atento para a primeira oportunidade que surgir",
IF(AND(G6=1,LOWER(H6)="d",K6=1,LOWER(L6)="d"),
"Pelo menos uma vez",
IF(G6=0,"O dia inteiro",IF(G6=1,"Uma vez",TEXT(G6,"0")&amp;" vezes")&amp;" por "&amp;IF(LOWER(H6)="d","dia","semana"))
&amp;IF(AND(ISNUMBER(I6),I6&gt;0),", a cada "&amp;TEXT(I6,"0")&amp;" "&amp;IF(I6=1,IF(LOWER(J6)="d","dia","semana"),IF(LOWER(J6)="d","dias","semanas"))&amp;",","")
&amp;" por um período de "&amp;TEXT(K6,"0")&amp;" "&amp;IF(K6=1,IF(LOWER(L6)="d","dia","semana"),IF(LOWER(L6)="d","dias","semanas"))
)
)
)</f>
        <v/>
      </c>
      <c r="P6" t="inlineStr">
        <is>
          <t>A06</t>
        </is>
      </c>
      <c r="Q6" t="inlineStr">
        <is>
          <t>A06O05</t>
        </is>
      </c>
      <c r="R6" t="inlineStr">
        <is>
          <t>Criar hábitos saudáveis (sono, alimentação)</t>
        </is>
      </c>
      <c r="S6" t="n">
        <v>0.1</v>
      </c>
    </row>
    <row r="7">
      <c r="A7" s="2" t="inlineStr">
        <is>
          <t>Eu mesmo</t>
        </is>
      </c>
      <c r="B7" s="2" t="inlineStr">
        <is>
          <t>Básico</t>
        </is>
      </c>
      <c r="C7" s="2" t="inlineStr">
        <is>
          <t>Decorar pelo menos 1 verso bíblico ou frase positiva</t>
        </is>
      </c>
      <c r="D7" s="9" t="n">
        <v>6</v>
      </c>
      <c r="E7" s="9" t="n">
        <v>1</v>
      </c>
      <c r="F7" s="9" t="n">
        <v>9</v>
      </c>
      <c r="G7" s="9" t="n">
        <v>1</v>
      </c>
      <c r="H7" s="9" t="inlineStr">
        <is>
          <t>d</t>
        </is>
      </c>
      <c r="I7" s="9" t="n">
        <v>3</v>
      </c>
      <c r="J7" s="9" t="inlineStr">
        <is>
          <t>d</t>
        </is>
      </c>
      <c r="K7" s="9" t="n">
        <v>3</v>
      </c>
      <c r="L7" s="9" t="inlineStr">
        <is>
          <t>s</t>
        </is>
      </c>
      <c r="M7" s="9">
        <f>LEFT(A7,2)&amp;LEFT(B7,1)&amp;TEXT(F7,"000")&amp;"-"&amp;(G7)&amp;H7&amp;(K7)&amp;L7</f>
        <v/>
      </c>
      <c r="N7" s="9" t="n">
        <v>1</v>
      </c>
      <c r="O7" s="2">
        <f>IF(
AND(G7="",H7="",I7="",J7="",K7="",L7=""),
"Fique atento para a primeira oportunidade que surgir",
IF(AND(G7=0,LOWER(H7)="d",K7=0,LOWER(L7)="d"),
"Fique atento para a primeira oportunidade que surgir",
IF(AND(G7=1,LOWER(H7)="d",K7=1,LOWER(L7)="d"),
"Pelo menos uma vez",
IF(G7=0,"O dia inteiro",IF(G7=1,"Uma vez",TEXT(G7,"0")&amp;" vezes")&amp;" por "&amp;IF(LOWER(H7)="d","dia","semana"))
&amp;IF(AND(ISNUMBER(I7),I7&gt;0),", a cada "&amp;TEXT(I7,"0")&amp;" "&amp;IF(I7=1,IF(LOWER(J7)="d","dia","semana"),IF(LOWER(J7)="d","dias","semanas"))&amp;",","")
&amp;" por um período de "&amp;TEXT(K7,"0")&amp;" "&amp;IF(K7=1,IF(LOWER(L7)="d","dia","semana"),IF(LOWER(L7)="d","dias","semanas"))
)
)
)</f>
        <v/>
      </c>
      <c r="P7" t="inlineStr">
        <is>
          <t>A06</t>
        </is>
      </c>
      <c r="Q7" t="inlineStr">
        <is>
          <t>A06O01</t>
        </is>
      </c>
      <c r="R7" t="inlineStr">
        <is>
          <t>Me conhecer melhor e valorizar minhas qualidades</t>
        </is>
      </c>
      <c r="S7" t="n">
        <v>0</v>
      </c>
    </row>
    <row r="8">
      <c r="A8" s="2" t="inlineStr">
        <is>
          <t>Eu mesmo</t>
        </is>
      </c>
      <c r="B8" s="2" t="inlineStr">
        <is>
          <t>Avançado</t>
        </is>
      </c>
      <c r="C8" s="2" t="inlineStr">
        <is>
          <t>Documentar minha vocação/talentos e próximo passo concreto.</t>
        </is>
      </c>
      <c r="D8" s="9" t="n">
        <v>6</v>
      </c>
      <c r="E8" s="9" t="n">
        <v>3</v>
      </c>
      <c r="F8" s="9" t="n">
        <v>15</v>
      </c>
      <c r="G8" s="9" t="n">
        <v>1</v>
      </c>
      <c r="H8" s="9" t="inlineStr">
        <is>
          <t>d</t>
        </is>
      </c>
      <c r="I8" s="9" t="n"/>
      <c r="J8" s="9" t="n"/>
      <c r="K8" s="9" t="n">
        <v>1</v>
      </c>
      <c r="L8" s="9" t="inlineStr">
        <is>
          <t>d</t>
        </is>
      </c>
      <c r="M8" s="9">
        <f>LEFT(A8,2)&amp;LEFT(B8,1)&amp;TEXT(F8,"000")&amp;"-"&amp;(G8)&amp;H8&amp;(K8)&amp;L8</f>
        <v/>
      </c>
      <c r="N8" s="9" t="n">
        <v>3</v>
      </c>
      <c r="O8" s="2">
        <f>IF(
AND(G8="",H8="",I8="",J8="",K8="",L8=""),
"Fique atento para a primeira oportunidade que surgir",
IF(AND(G8=0,LOWER(H8)="d",K8=0,LOWER(L8)="d"),
"Fique atento para a primeira oportunidade que surgir",
IF(AND(G8=1,LOWER(H8)="d",K8=1,LOWER(L8)="d"),
"Pelo menos uma vez",
IF(G8=0,"O dia inteiro",IF(G8=1,"Uma vez",TEXT(G8,"0")&amp;" vezes")&amp;" por "&amp;IF(LOWER(H8)="d","dia","semana"))
&amp;IF(AND(ISNUMBER(I8),I8&gt;0),", a cada "&amp;TEXT(I8,"0")&amp;" "&amp;IF(I8=1,IF(LOWER(J8)="d","dia","semana"),IF(LOWER(J8)="d","dias","semanas"))&amp;",","")
&amp;" por um período de "&amp;TEXT(K8,"0")&amp;" "&amp;IF(K8=1,IF(LOWER(L8)="d","dia","semana"),IF(LOWER(L8)="d","dias","semanas"))
)
)
)</f>
        <v/>
      </c>
      <c r="P8" t="inlineStr">
        <is>
          <t>A06</t>
        </is>
      </c>
      <c r="Q8" t="inlineStr">
        <is>
          <t>A06O02</t>
        </is>
      </c>
      <c r="R8" t="inlineStr">
        <is>
          <t>Cuidar da minha saúde física</t>
        </is>
      </c>
      <c r="S8" t="n">
        <v>0.1</v>
      </c>
    </row>
    <row r="9">
      <c r="A9" s="2" t="inlineStr">
        <is>
          <t>Eu mesmo</t>
        </is>
      </c>
      <c r="B9" s="2" t="inlineStr">
        <is>
          <t>Desafio</t>
        </is>
      </c>
      <c r="C9" s="2" t="inlineStr">
        <is>
          <t>Dormir 3 noites seguidas no mesmo horário.</t>
        </is>
      </c>
      <c r="D9" s="9" t="n">
        <v>6</v>
      </c>
      <c r="E9" s="9" t="n">
        <v>2</v>
      </c>
      <c r="F9" s="9" t="n">
        <v>8</v>
      </c>
      <c r="G9" s="9" t="n">
        <v>0</v>
      </c>
      <c r="H9" s="9" t="inlineStr">
        <is>
          <t>d</t>
        </is>
      </c>
      <c r="I9" s="9" t="n">
        <v>1</v>
      </c>
      <c r="J9" s="9" t="inlineStr">
        <is>
          <t>s</t>
        </is>
      </c>
      <c r="K9" s="9" t="n">
        <v>4</v>
      </c>
      <c r="L9" s="9" t="inlineStr">
        <is>
          <t>s</t>
        </is>
      </c>
      <c r="M9" s="9">
        <f>LEFT(A9,2)&amp;LEFT(B9,1)&amp;TEXT(F9,"000")&amp;"-"&amp;(G9)&amp;H9&amp;(K9)&amp;L9</f>
        <v/>
      </c>
      <c r="N9" s="9" t="n">
        <v>2</v>
      </c>
      <c r="O9" s="2">
        <f>IF(
AND(G9="",H9="",I9="",J9="",K9="",L9=""),
"Fique atento para a primeira oportunidade que surgir",
IF(AND(G9=0,LOWER(H9)="d",K9=0,LOWER(L9)="d"),
"Fique atento para a primeira oportunidade que surgir",
IF(AND(G9=1,LOWER(H9)="d",K9=1,LOWER(L9)="d"),
"Pelo menos uma vez",
IF(G9=0,"O dia inteiro",IF(G9=1,"Uma vez",TEXT(G9,"0")&amp;" vezes")&amp;" por "&amp;IF(LOWER(H9)="d","dia","semana"))
&amp;IF(AND(ISNUMBER(I9),I9&gt;0),", a cada "&amp;TEXT(I9,"0")&amp;" "&amp;IF(I9=1,IF(LOWER(J9)="d","dia","semana"),IF(LOWER(J9)="d","dias","semanas"))&amp;",","")
&amp;" por um período de "&amp;TEXT(K9,"0")&amp;" "&amp;IF(K9=1,IF(LOWER(L9)="d","dia","semana"),IF(LOWER(L9)="d","dias","semanas"))
)
)
)</f>
        <v/>
      </c>
      <c r="P9" t="inlineStr">
        <is>
          <t>A06</t>
        </is>
      </c>
      <c r="Q9" t="inlineStr">
        <is>
          <t>A06O01</t>
        </is>
      </c>
      <c r="R9" t="inlineStr">
        <is>
          <t>Me conhecer melhor e valorizar minhas qualidades</t>
        </is>
      </c>
      <c r="S9" t="n">
        <v>0</v>
      </c>
    </row>
    <row r="10">
      <c r="A10" s="2" t="inlineStr">
        <is>
          <t>Eu mesmo</t>
        </is>
      </c>
      <c r="B10" s="2" t="inlineStr">
        <is>
          <t>Básico</t>
        </is>
      </c>
      <c r="C10" s="2" t="inlineStr">
        <is>
          <t>Dormir no horário combinado.</t>
        </is>
      </c>
      <c r="D10" s="9" t="n">
        <v>6</v>
      </c>
      <c r="E10" s="9" t="n">
        <v>1</v>
      </c>
      <c r="F10" s="9" t="n">
        <v>5</v>
      </c>
      <c r="G10" s="9" t="n">
        <v>0</v>
      </c>
      <c r="H10" s="9" t="inlineStr">
        <is>
          <t>d</t>
        </is>
      </c>
      <c r="I10" s="9" t="n"/>
      <c r="J10" s="9" t="n"/>
      <c r="K10" s="9" t="n">
        <v>0</v>
      </c>
      <c r="L10" s="9" t="inlineStr">
        <is>
          <t>d</t>
        </is>
      </c>
      <c r="M10" s="9">
        <f>LEFT(A10,2)&amp;LEFT(B10,1)&amp;TEXT(F10,"000")&amp;"-"&amp;(G10)&amp;H10&amp;(K10)&amp;L10</f>
        <v/>
      </c>
      <c r="N10" s="9" t="n">
        <v>2</v>
      </c>
      <c r="O10" s="2">
        <f>IF(
AND(G10="",H10="",I10="",J10="",K10="",L10=""),
"Fique atento para a primeira oportunidade que surgir",
IF(AND(G10=0,LOWER(H10)="d",K10=0,LOWER(L10)="d"),
"Fique atento para a primeira oportunidade que surgir",
IF(AND(G10=1,LOWER(H10)="d",K10=1,LOWER(L10)="d"),
"Pelo menos uma vez",
IF(G10=0,"O dia inteiro",IF(G10=1,"Uma vez",TEXT(G10,"0")&amp;" vezes")&amp;" por "&amp;IF(LOWER(H10)="d","dia","semana"))
&amp;IF(AND(ISNUMBER(I10),I10&gt;0),", a cada "&amp;TEXT(I10,"0")&amp;" "&amp;IF(I10=1,IF(LOWER(J10)="d","dia","semana"),IF(LOWER(J10)="d","dias","semanas"))&amp;",","")
&amp;" por um período de "&amp;TEXT(K10,"0")&amp;" "&amp;IF(K10=1,IF(LOWER(L10)="d","dia","semana"),IF(LOWER(L10)="d","dias","semanas"))
)
)
)</f>
        <v/>
      </c>
      <c r="P10" t="inlineStr">
        <is>
          <t>A06</t>
        </is>
      </c>
      <c r="Q10" t="inlineStr">
        <is>
          <t>A06O01</t>
        </is>
      </c>
      <c r="R10" t="inlineStr">
        <is>
          <t>Me conhecer melhor e valorizar minhas qualidades</t>
        </is>
      </c>
      <c r="S10" t="n">
        <v>0</v>
      </c>
    </row>
    <row r="11">
      <c r="A11" s="2" t="inlineStr">
        <is>
          <t>Eu mesmo</t>
        </is>
      </c>
      <c r="B11" s="2" t="inlineStr">
        <is>
          <t>Avançado</t>
        </is>
      </c>
      <c r="C11" s="2" t="inlineStr">
        <is>
          <t>Eliminar um hábito ruim substituindo por um bom (21 dias).</t>
        </is>
      </c>
      <c r="D11" s="9" t="n">
        <v>6</v>
      </c>
      <c r="E11" s="9" t="n">
        <v>3</v>
      </c>
      <c r="F11" s="9" t="n">
        <v>10</v>
      </c>
      <c r="G11" s="9" t="n">
        <v>0</v>
      </c>
      <c r="H11" s="9" t="inlineStr">
        <is>
          <t>d</t>
        </is>
      </c>
      <c r="I11" s="9" t="n">
        <v>8</v>
      </c>
      <c r="J11" s="9" t="inlineStr">
        <is>
          <t>s</t>
        </is>
      </c>
      <c r="K11" s="9" t="n">
        <v>8</v>
      </c>
      <c r="L11" s="9" t="inlineStr">
        <is>
          <t>s</t>
        </is>
      </c>
      <c r="M11" s="9">
        <f>LEFT(A11,2)&amp;LEFT(B11,1)&amp;TEXT(F11,"000")&amp;"-"&amp;(G11)&amp;H11&amp;(K11)&amp;L11</f>
        <v/>
      </c>
      <c r="N11" s="9" t="n">
        <v>3</v>
      </c>
      <c r="O11" s="2">
        <f>IF(
AND(G11="",H11="",I11="",J11="",K11="",L11=""),
"Fique atento para a primeira oportunidade que surgir",
IF(AND(G11=0,LOWER(H11)="d",K11=0,LOWER(L11)="d"),
"Fique atento para a primeira oportunidade que surgir",
IF(AND(G11=1,LOWER(H11)="d",K11=1,LOWER(L11)="d"),
"Pelo menos uma vez",
IF(G11=0,"O dia inteiro",IF(G11=1,"Uma vez",TEXT(G11,"0")&amp;" vezes")&amp;" por "&amp;IF(LOWER(H11)="d","dia","semana"))
&amp;IF(AND(ISNUMBER(I11),I11&gt;0),", a cada "&amp;TEXT(I11,"0")&amp;" "&amp;IF(I11=1,IF(LOWER(J11)="d","dia","semana"),IF(LOWER(J11)="d","dias","semanas"))&amp;",","")
&amp;" por um período de "&amp;TEXT(K11,"0")&amp;" "&amp;IF(K11=1,IF(LOWER(L11)="d","dia","semana"),IF(LOWER(L11)="d","dias","semanas"))
)
)
)</f>
        <v/>
      </c>
      <c r="P11" t="inlineStr">
        <is>
          <t>A06</t>
        </is>
      </c>
      <c r="Q11" t="inlineStr">
        <is>
          <t>A06O05</t>
        </is>
      </c>
      <c r="R11" t="inlineStr">
        <is>
          <t>Criar hábitos saudáveis (sono, alimentação)</t>
        </is>
      </c>
      <c r="S11" t="n">
        <v>0.1</v>
      </c>
    </row>
    <row r="12">
      <c r="A12" s="2" t="inlineStr">
        <is>
          <t>Eu mesmo</t>
        </is>
      </c>
      <c r="B12" s="2" t="inlineStr">
        <is>
          <t>Desafio</t>
        </is>
      </c>
      <c r="C12" s="2" t="inlineStr">
        <is>
          <t>Estabelecer meta SMART semanal e monitorar.</t>
        </is>
      </c>
      <c r="D12" s="9" t="n">
        <v>6</v>
      </c>
      <c r="E12" s="9" t="n">
        <v>2</v>
      </c>
      <c r="F12" s="9" t="n">
        <v>5</v>
      </c>
      <c r="G12" s="9" t="n">
        <v>1</v>
      </c>
      <c r="H12" s="9" t="inlineStr">
        <is>
          <t>s</t>
        </is>
      </c>
      <c r="I12" s="9" t="n"/>
      <c r="J12" s="9" t="n"/>
      <c r="K12" s="9" t="n">
        <v>4</v>
      </c>
      <c r="L12" s="9" t="inlineStr">
        <is>
          <t>s</t>
        </is>
      </c>
      <c r="M12" s="9">
        <f>LEFT(A12,2)&amp;LEFT(B12,1)&amp;TEXT(F12,"000")&amp;"-"&amp;(G12)&amp;H12&amp;(K12)&amp;L12</f>
        <v/>
      </c>
      <c r="N12" s="9" t="n">
        <v>2</v>
      </c>
      <c r="O12" s="2">
        <f>IF(
AND(G12="",H12="",I12="",J12="",K12="",L12=""),
"Fique atento para a primeira oportunidade que surgir",
IF(AND(G12=0,LOWER(H12)="d",K12=0,LOWER(L12)="d"),
"Fique atento para a primeira oportunidade que surgir",
IF(AND(G12=1,LOWER(H12)="d",K12=1,LOWER(L12)="d"),
"Pelo menos uma vez",
IF(G12=0,"O dia inteiro",IF(G12=1,"Uma vez",TEXT(G12,"0")&amp;" vezes")&amp;" por "&amp;IF(LOWER(H12)="d","dia","semana"))
&amp;IF(AND(ISNUMBER(I12),I12&gt;0),", a cada "&amp;TEXT(I12,"0")&amp;" "&amp;IF(I12=1,IF(LOWER(J12)="d","dia","semana"),IF(LOWER(J12)="d","dias","semanas"))&amp;",","")
&amp;" por um período de "&amp;TEXT(K12,"0")&amp;" "&amp;IF(K12=1,IF(LOWER(L12)="d","dia","semana"),IF(LOWER(L12)="d","dias","semanas"))
)
)
)</f>
        <v/>
      </c>
      <c r="P12" t="inlineStr">
        <is>
          <t>A06</t>
        </is>
      </c>
      <c r="Q12" t="inlineStr">
        <is>
          <t>A06O08</t>
        </is>
      </c>
      <c r="R12" t="inlineStr">
        <is>
          <t>Desenvolver um plano de vida com metas claras</t>
        </is>
      </c>
      <c r="S12" t="n">
        <v>0.111</v>
      </c>
    </row>
    <row r="13">
      <c r="A13" s="2" t="inlineStr">
        <is>
          <t>Eu mesmo</t>
        </is>
      </c>
      <c r="B13" s="2" t="inlineStr">
        <is>
          <t>Avançado</t>
        </is>
      </c>
      <c r="C13" s="2" t="inlineStr">
        <is>
          <t>Estabelecer orçamento pessoal básico e registrar gastos.</t>
        </is>
      </c>
      <c r="D13" s="9" t="n">
        <v>6</v>
      </c>
      <c r="E13" s="9" t="n">
        <v>3</v>
      </c>
      <c r="F13" s="9" t="n">
        <v>9</v>
      </c>
      <c r="G13" s="9" t="n">
        <v>1</v>
      </c>
      <c r="H13" s="9" t="inlineStr">
        <is>
          <t>d</t>
        </is>
      </c>
      <c r="I13" s="9" t="n">
        <v>3</v>
      </c>
      <c r="J13" s="9" t="inlineStr">
        <is>
          <t>s</t>
        </is>
      </c>
      <c r="K13" s="9" t="n">
        <v>3</v>
      </c>
      <c r="L13" s="9" t="inlineStr">
        <is>
          <t>s</t>
        </is>
      </c>
      <c r="M13" s="9">
        <f>LEFT(A13,2)&amp;LEFT(B13,1)&amp;TEXT(F13,"000")&amp;"-"&amp;(G13)&amp;H13&amp;(K13)&amp;L13</f>
        <v/>
      </c>
      <c r="N13" s="9" t="n">
        <v>3</v>
      </c>
      <c r="O13" s="2">
        <f>IF(
AND(G13="",H13="",I13="",J13="",K13="",L13=""),
"Fique atento para a primeira oportunidade que surgir",
IF(AND(G13=0,LOWER(H13)="d",K13=0,LOWER(L13)="d"),
"Fique atento para a primeira oportunidade que surgir",
IF(AND(G13=1,LOWER(H13)="d",K13=1,LOWER(L13)="d"),
"Pelo menos uma vez",
IF(G13=0,"O dia inteiro",IF(G13=1,"Uma vez",TEXT(G13,"0")&amp;" vezes")&amp;" por "&amp;IF(LOWER(H13)="d","dia","semana"))
&amp;IF(AND(ISNUMBER(I13),I13&gt;0),", a cada "&amp;TEXT(I13,"0")&amp;" "&amp;IF(I13=1,IF(LOWER(J13)="d","dia","semana"),IF(LOWER(J13)="d","dias","semanas"))&amp;",","")
&amp;" por um período de "&amp;TEXT(K13,"0")&amp;" "&amp;IF(K13=1,IF(LOWER(L13)="d","dia","semana"),IF(LOWER(L13)="d","dias","semanas"))
)
)
)</f>
        <v/>
      </c>
      <c r="P13" t="inlineStr">
        <is>
          <t>A06</t>
        </is>
      </c>
      <c r="Q13" t="inlineStr">
        <is>
          <t>A06O01</t>
        </is>
      </c>
      <c r="R13" t="inlineStr">
        <is>
          <t>Me conhecer melhor e valorizar minhas qualidades</t>
        </is>
      </c>
      <c r="S13" t="n">
        <v>0</v>
      </c>
    </row>
    <row r="14">
      <c r="A14" s="2" t="inlineStr">
        <is>
          <t>Eu mesmo</t>
        </is>
      </c>
      <c r="B14" s="2" t="inlineStr">
        <is>
          <t>Básico</t>
        </is>
      </c>
      <c r="C14" s="2" t="inlineStr">
        <is>
          <t>Estabelecer um horário para dormir e cumprir à risca</t>
        </is>
      </c>
      <c r="D14" s="9" t="n">
        <v>6</v>
      </c>
      <c r="E14" s="9" t="n">
        <v>1</v>
      </c>
      <c r="F14" s="9" t="n">
        <v>5</v>
      </c>
      <c r="G14" s="9" t="n">
        <v>1</v>
      </c>
      <c r="H14" s="9" t="inlineStr">
        <is>
          <t>d</t>
        </is>
      </c>
      <c r="I14" s="9" t="n"/>
      <c r="J14" s="9" t="n"/>
      <c r="K14" s="9" t="n">
        <v>3</v>
      </c>
      <c r="L14" s="9" t="inlineStr">
        <is>
          <t>s</t>
        </is>
      </c>
      <c r="M14" s="9">
        <f>LEFT(A14,2)&amp;LEFT(B14,1)&amp;TEXT(F14,"000")&amp;"-"&amp;(G14)&amp;H14&amp;(K14)&amp;L14</f>
        <v/>
      </c>
      <c r="N14" s="9" t="n">
        <v>1</v>
      </c>
      <c r="O14" s="2">
        <f>IF(
AND(G14="",H14="",I14="",J14="",K14="",L14=""),
"Fique atento para a primeira oportunidade que surgir",
IF(AND(G14=0,LOWER(H14)="d",K14=0,LOWER(L14)="d"),
"Fique atento para a primeira oportunidade que surgir",
IF(AND(G14=1,LOWER(H14)="d",K14=1,LOWER(L14)="d"),
"Pelo menos uma vez",
IF(G14=0,"O dia inteiro",IF(G14=1,"Uma vez",TEXT(G14,"0")&amp;" vezes")&amp;" por "&amp;IF(LOWER(H14)="d","dia","semana"))
&amp;IF(AND(ISNUMBER(I14),I14&gt;0),", a cada "&amp;TEXT(I14,"0")&amp;" "&amp;IF(I14=1,IF(LOWER(J14)="d","dia","semana"),IF(LOWER(J14)="d","dias","semanas"))&amp;",","")
&amp;" por um período de "&amp;TEXT(K14,"0")&amp;" "&amp;IF(K14=1,IF(LOWER(L14)="d","dia","semana"),IF(LOWER(L14)="d","dias","semanas"))
)
)
)</f>
        <v/>
      </c>
      <c r="P14" t="inlineStr">
        <is>
          <t>A06</t>
        </is>
      </c>
      <c r="Q14" t="inlineStr">
        <is>
          <t>A06O01</t>
        </is>
      </c>
      <c r="R14" t="inlineStr">
        <is>
          <t>Me conhecer melhor e valorizar minhas qualidades</t>
        </is>
      </c>
      <c r="S14" t="n">
        <v>0</v>
      </c>
    </row>
    <row r="15">
      <c r="A15" s="2" t="inlineStr">
        <is>
          <t>Eu mesmo</t>
        </is>
      </c>
      <c r="B15" s="2" t="inlineStr">
        <is>
          <t>Avançado</t>
        </is>
      </c>
      <c r="C15" s="2" t="inlineStr">
        <is>
          <t>Estudar um tema novo com plano e avaliação.</t>
        </is>
      </c>
      <c r="D15" s="9" t="n">
        <v>6</v>
      </c>
      <c r="E15" s="9" t="n">
        <v>3</v>
      </c>
      <c r="F15" s="9" t="n">
        <v>12</v>
      </c>
      <c r="G15" s="9" t="n">
        <v>1</v>
      </c>
      <c r="H15" s="9" t="inlineStr">
        <is>
          <t>d</t>
        </is>
      </c>
      <c r="I15" s="9" t="n"/>
      <c r="J15" s="9" t="n"/>
      <c r="K15" s="9" t="n">
        <v>1</v>
      </c>
      <c r="L15" s="9" t="inlineStr">
        <is>
          <t>d</t>
        </is>
      </c>
      <c r="M15" s="9">
        <f>LEFT(A15,2)&amp;LEFT(B15,1)&amp;TEXT(F15,"000")&amp;"-"&amp;(G15)&amp;H15&amp;(K15)&amp;L15</f>
        <v/>
      </c>
      <c r="N15" s="9" t="n">
        <v>3</v>
      </c>
      <c r="O15" s="2">
        <f>IF(
AND(G15="",H15="",I15="",J15="",K15="",L15=""),
"Fique atento para a primeira oportunidade que surgir",
IF(AND(G15=0,LOWER(H15)="d",K15=0,LOWER(L15)="d"),
"Fique atento para a primeira oportunidade que surgir",
IF(AND(G15=1,LOWER(H15)="d",K15=1,LOWER(L15)="d"),
"Pelo menos uma vez",
IF(G15=0,"O dia inteiro",IF(G15=1,"Uma vez",TEXT(G15,"0")&amp;" vezes")&amp;" por "&amp;IF(LOWER(H15)="d","dia","semana"))
&amp;IF(AND(ISNUMBER(I15),I15&gt;0),", a cada "&amp;TEXT(I15,"0")&amp;" "&amp;IF(I15=1,IF(LOWER(J15)="d","dia","semana"),IF(LOWER(J15)="d","dias","semanas"))&amp;",","")
&amp;" por um período de "&amp;TEXT(K15,"0")&amp;" "&amp;IF(K15=1,IF(LOWER(L15)="d","dia","semana"),IF(LOWER(L15)="d","dias","semanas"))
)
)
)</f>
        <v/>
      </c>
      <c r="P15" t="inlineStr">
        <is>
          <t>A06</t>
        </is>
      </c>
      <c r="Q15" t="inlineStr">
        <is>
          <t>A06O08</t>
        </is>
      </c>
      <c r="R15" t="inlineStr">
        <is>
          <t>Desenvolver um plano de vida com metas claras</t>
        </is>
      </c>
      <c r="S15" t="n">
        <v>0.111</v>
      </c>
    </row>
    <row r="16">
      <c r="A16" s="2" t="inlineStr">
        <is>
          <t>Eu mesmo</t>
        </is>
      </c>
      <c r="B16" s="2" t="inlineStr">
        <is>
          <t>Básico</t>
        </is>
      </c>
      <c r="C16" s="2" t="inlineStr">
        <is>
          <t>Evitar usar celular durante a refeição.</t>
        </is>
      </c>
      <c r="D16" s="9" t="n">
        <v>6</v>
      </c>
      <c r="E16" s="9" t="n">
        <v>1</v>
      </c>
      <c r="F16" s="9" t="n">
        <v>7</v>
      </c>
      <c r="G16" s="9" t="n">
        <v>3</v>
      </c>
      <c r="H16" s="9" t="inlineStr">
        <is>
          <t>d</t>
        </is>
      </c>
      <c r="I16" s="9" t="n"/>
      <c r="J16" s="9" t="n"/>
      <c r="K16" s="9" t="n">
        <v>3</v>
      </c>
      <c r="L16" s="9" t="inlineStr">
        <is>
          <t>s</t>
        </is>
      </c>
      <c r="M16" s="9">
        <f>LEFT(A16,2)&amp;LEFT(B16,1)&amp;TEXT(F16,"000")&amp;"-"&amp;(G16)&amp;H16&amp;(K16)&amp;L16</f>
        <v/>
      </c>
      <c r="N16" s="9" t="n">
        <v>1</v>
      </c>
      <c r="O16" s="2">
        <f>IF(
AND(G16="",H16="",I16="",J16="",K16="",L16=""),
"Fique atento para a primeira oportunidade que surgir",
IF(AND(G16=0,LOWER(H16)="d",K16=0,LOWER(L16)="d"),
"Fique atento para a primeira oportunidade que surgir",
IF(AND(G16=1,LOWER(H16)="d",K16=1,LOWER(L16)="d"),
"Pelo menos uma vez",
IF(G16=0,"O dia inteiro",IF(G16=1,"Uma vez",TEXT(G16,"0")&amp;" vezes")&amp;" por "&amp;IF(LOWER(H16)="d","dia","semana"))
&amp;IF(AND(ISNUMBER(I16),I16&gt;0),", a cada "&amp;TEXT(I16,"0")&amp;" "&amp;IF(I16=1,IF(LOWER(J16)="d","dia","semana"),IF(LOWER(J16)="d","dias","semanas"))&amp;",","")
&amp;" por um período de "&amp;TEXT(K16,"0")&amp;" "&amp;IF(K16=1,IF(LOWER(L16)="d","dia","semana"),IF(LOWER(L16)="d","dias","semanas"))
)
)
)</f>
        <v/>
      </c>
      <c r="P16" t="inlineStr">
        <is>
          <t>A06</t>
        </is>
      </c>
      <c r="Q16" t="inlineStr">
        <is>
          <t>A06O07</t>
        </is>
      </c>
      <c r="R16" t="inlineStr">
        <is>
          <t>Evitar comparações e inveja</t>
        </is>
      </c>
      <c r="S16" t="n">
        <v>0.143</v>
      </c>
    </row>
    <row r="17">
      <c r="A17" s="2" t="inlineStr">
        <is>
          <t>Eu mesmo</t>
        </is>
      </c>
      <c r="B17" s="2" t="inlineStr">
        <is>
          <t>Avançado</t>
        </is>
      </c>
      <c r="C17" s="2" t="inlineStr">
        <is>
          <t>Executar detox de açúcar ultraprocessado por 14 dias.</t>
        </is>
      </c>
      <c r="D17" s="9" t="n">
        <v>6</v>
      </c>
      <c r="E17" s="9" t="n">
        <v>3</v>
      </c>
      <c r="F17" s="9" t="n">
        <v>14</v>
      </c>
      <c r="G17" s="9" t="n">
        <v>1</v>
      </c>
      <c r="H17" s="9" t="inlineStr">
        <is>
          <t>d</t>
        </is>
      </c>
      <c r="I17" s="9" t="n"/>
      <c r="J17" s="9" t="n"/>
      <c r="K17" s="9" t="n">
        <v>14</v>
      </c>
      <c r="L17" s="9" t="inlineStr">
        <is>
          <t>d</t>
        </is>
      </c>
      <c r="M17" s="9">
        <f>LEFT(A17,2)&amp;LEFT(B17,1)&amp;TEXT(F17,"000")&amp;"-"&amp;(G17)&amp;H17&amp;(K17)&amp;L17</f>
        <v/>
      </c>
      <c r="N17" s="9" t="n">
        <v>3</v>
      </c>
      <c r="O17" s="2">
        <f>IF(
AND(G17="",H17="",I17="",J17="",K17="",L17=""),
"Fique atento para a primeira oportunidade que surgir",
IF(AND(G17=0,LOWER(H17)="d",K17=0,LOWER(L17)="d"),
"Fique atento para a primeira oportunidade que surgir",
IF(AND(G17=1,LOWER(H17)="d",K17=1,LOWER(L17)="d"),
"Pelo menos uma vez",
IF(G17=0,"O dia inteiro",IF(G17=1,"Uma vez",TEXT(G17,"0")&amp;" vezes")&amp;" por "&amp;IF(LOWER(H17)="d","dia","semana"))
&amp;IF(AND(ISNUMBER(I17),I17&gt;0),", a cada "&amp;TEXT(I17,"0")&amp;" "&amp;IF(I17=1,IF(LOWER(J17)="d","dia","semana"),IF(LOWER(J17)="d","dias","semanas"))&amp;",","")
&amp;" por um período de "&amp;TEXT(K17,"0")&amp;" "&amp;IF(K17=1,IF(LOWER(L17)="d","dia","semana"),IF(LOWER(L17)="d","dias","semanas"))
)
)
)</f>
        <v/>
      </c>
      <c r="P17" t="inlineStr">
        <is>
          <t>A06</t>
        </is>
      </c>
      <c r="Q17" t="inlineStr">
        <is>
          <t>A06O01</t>
        </is>
      </c>
      <c r="R17" t="inlineStr">
        <is>
          <t>Me conhecer melhor e valorizar minhas qualidades</t>
        </is>
      </c>
      <c r="S17" t="n">
        <v>0</v>
      </c>
    </row>
    <row r="18">
      <c r="A18" s="2" t="inlineStr">
        <is>
          <t>Eu mesmo</t>
        </is>
      </c>
      <c r="B18" s="2" t="inlineStr">
        <is>
          <t>Basico</t>
        </is>
      </c>
      <c r="C18" s="2" t="inlineStr">
        <is>
          <t>Fazer 10 minutos de exercício físico.</t>
        </is>
      </c>
      <c r="D18" s="9" t="n">
        <v>6</v>
      </c>
      <c r="E18" s="9" t="n">
        <v>1</v>
      </c>
      <c r="F18" s="9" t="n">
        <v>3</v>
      </c>
      <c r="G18" s="9" t="n">
        <v>1</v>
      </c>
      <c r="H18" s="9" t="inlineStr">
        <is>
          <t>d</t>
        </is>
      </c>
      <c r="I18" s="9" t="n"/>
      <c r="J18" s="9" t="n"/>
      <c r="K18" s="9" t="n">
        <v>3</v>
      </c>
      <c r="L18" s="9" t="inlineStr">
        <is>
          <t>s</t>
        </is>
      </c>
      <c r="M18" s="9">
        <f>LEFT(A18,2)&amp;LEFT(B18,1)&amp;TEXT(F18,"000")&amp;"-"&amp;(G18)&amp;H18&amp;(K18)&amp;L18</f>
        <v/>
      </c>
      <c r="N18" s="9" t="n">
        <v>1</v>
      </c>
      <c r="O18" s="2">
        <f>IF(
AND(G18="",H18="",I18="",J18="",K18="",L18=""),
"Fique atento para a primeira oportunidade que surgir",
IF(AND(G18=0,LOWER(H18)="d",K18=0,LOWER(L18)="d"),
"Fique atento para a primeira oportunidade que surgir",
IF(AND(G18=1,LOWER(H18)="d",K18=1,LOWER(L18)="d"),
"Pelo menos uma vez",
IF(G18=0,"O dia inteiro",IF(G18=1,"Uma vez",TEXT(G18,"0")&amp;" vezes")&amp;" por "&amp;IF(LOWER(H18)="d","dia","semana"))
&amp;IF(AND(ISNUMBER(I18),I18&gt;0),", a cada "&amp;TEXT(I18,"0")&amp;" "&amp;IF(I18=1,IF(LOWER(J18)="d","dia","semana"),IF(LOWER(J18)="d","dias","semanas"))&amp;",","")
&amp;" por um período de "&amp;TEXT(K18,"0")&amp;" "&amp;IF(K18=1,IF(LOWER(L18)="d","dia","semana"),IF(LOWER(L18)="d","dias","semanas"))
)
)
)</f>
        <v/>
      </c>
      <c r="P18" t="inlineStr">
        <is>
          <t>A06</t>
        </is>
      </c>
      <c r="Q18" t="inlineStr">
        <is>
          <t>A06O01</t>
        </is>
      </c>
      <c r="R18" t="inlineStr">
        <is>
          <t>Me conhecer melhor e valorizar minhas qualidades</t>
        </is>
      </c>
      <c r="S18" t="n">
        <v>0</v>
      </c>
    </row>
    <row r="19">
      <c r="A19" s="2" t="inlineStr">
        <is>
          <t>Eu mesmo</t>
        </is>
      </c>
      <c r="B19" s="2" t="inlineStr">
        <is>
          <t>Desafio</t>
        </is>
      </c>
      <c r="C19" s="2" t="inlineStr">
        <is>
          <t>Fazer 30 minutos de atividade física contínua.</t>
        </is>
      </c>
      <c r="D19" s="9" t="n">
        <v>6</v>
      </c>
      <c r="E19" s="9" t="n">
        <v>2</v>
      </c>
      <c r="F19" s="9" t="n">
        <v>1</v>
      </c>
      <c r="G19" s="9" t="n">
        <v>1</v>
      </c>
      <c r="H19" s="9" t="inlineStr">
        <is>
          <t>d</t>
        </is>
      </c>
      <c r="I19" s="9" t="n"/>
      <c r="J19" s="9" t="n"/>
      <c r="K19" s="9" t="n">
        <v>3</v>
      </c>
      <c r="L19" s="9" t="inlineStr">
        <is>
          <t>s</t>
        </is>
      </c>
      <c r="M19" s="9">
        <f>LEFT(A19,2)&amp;LEFT(B19,1)&amp;TEXT(F19,"000")&amp;"-"&amp;(G19)&amp;H19&amp;(K19)&amp;L19</f>
        <v/>
      </c>
      <c r="N19" s="9" t="n">
        <v>2</v>
      </c>
      <c r="O19" s="2">
        <f>IF(
AND(G19="",H19="",I19="",J19="",K19="",L19=""),
"Fique atento para a primeira oportunidade que surgir",
IF(AND(G19=0,LOWER(H19)="d",K19=0,LOWER(L19)="d"),
"Fique atento para a primeira oportunidade que surgir",
IF(AND(G19=1,LOWER(H19)="d",K19=1,LOWER(L19)="d"),
"Pelo menos uma vez",
IF(G19=0,"O dia inteiro",IF(G19=1,"Uma vez",TEXT(G19,"0")&amp;" vezes")&amp;" por "&amp;IF(LOWER(H19)="d","dia","semana"))
&amp;IF(AND(ISNUMBER(I19),I19&gt;0),", a cada "&amp;TEXT(I19,"0")&amp;" "&amp;IF(I19=1,IF(LOWER(J19)="d","dia","semana"),IF(LOWER(J19)="d","dias","semanas"))&amp;",","")
&amp;" por um período de "&amp;TEXT(K19,"0")&amp;" "&amp;IF(K19=1,IF(LOWER(L19)="d","dia","semana"),IF(LOWER(L19)="d","dias","semanas"))
)
)
)</f>
        <v/>
      </c>
      <c r="P19" t="inlineStr">
        <is>
          <t>A06</t>
        </is>
      </c>
      <c r="Q19" t="inlineStr">
        <is>
          <t>A06O02</t>
        </is>
      </c>
      <c r="R19" t="inlineStr">
        <is>
          <t>Cuidar da minha saúde física</t>
        </is>
      </c>
      <c r="S19" t="n">
        <v>0.125</v>
      </c>
    </row>
    <row r="20">
      <c r="A20" s="2" t="inlineStr">
        <is>
          <t>Eu mesmo</t>
        </is>
      </c>
      <c r="B20" s="2" t="inlineStr">
        <is>
          <t>Avançado</t>
        </is>
      </c>
      <c r="C20" s="2" t="inlineStr">
        <is>
          <t>Fazer check-up de saúde e montar plano de autocuidado.</t>
        </is>
      </c>
      <c r="D20" s="9" t="n">
        <v>6</v>
      </c>
      <c r="E20" s="9" t="n">
        <v>3</v>
      </c>
      <c r="F20" s="9" t="n">
        <v>11</v>
      </c>
      <c r="G20" s="9" t="n">
        <v>1</v>
      </c>
      <c r="H20" s="9" t="inlineStr">
        <is>
          <t>d</t>
        </is>
      </c>
      <c r="I20" s="9" t="n"/>
      <c r="J20" s="9" t="n"/>
      <c r="K20" s="9" t="n">
        <v>0</v>
      </c>
      <c r="L20" s="9" t="inlineStr">
        <is>
          <t>d</t>
        </is>
      </c>
      <c r="M20" s="9">
        <f>LEFT(A20,2)&amp;LEFT(B20,1)&amp;TEXT(F20,"000")&amp;"-"&amp;(G20)&amp;H20&amp;(K20)&amp;L20</f>
        <v/>
      </c>
      <c r="N20" s="9" t="n">
        <v>3</v>
      </c>
      <c r="O20" s="2">
        <f>IF(
AND(G20="",H20="",I20="",J20="",K20="",L20=""),
"Fique atento para a primeira oportunidade que surgir",
IF(AND(G20=0,LOWER(H20)="d",K20=0,LOWER(L20)="d"),
"Fique atento para a primeira oportunidade que surgir",
IF(AND(G20=1,LOWER(H20)="d",K20=1,LOWER(L20)="d"),
"Pelo menos uma vez",
IF(G20=0,"O dia inteiro",IF(G20=1,"Uma vez",TEXT(G20,"0")&amp;" vezes")&amp;" por "&amp;IF(LOWER(H20)="d","dia","semana"))
&amp;IF(AND(ISNUMBER(I20),I20&gt;0),", a cada "&amp;TEXT(I20,"0")&amp;" "&amp;IF(I20=1,IF(LOWER(J20)="d","dia","semana"),IF(LOWER(J20)="d","dias","semanas"))&amp;",","")
&amp;" por um período de "&amp;TEXT(K20,"0")&amp;" "&amp;IF(K20=1,IF(LOWER(L20)="d","dia","semana"),IF(LOWER(L20)="d","dias","semanas"))
)
)
)</f>
        <v/>
      </c>
      <c r="P20" t="inlineStr">
        <is>
          <t>A06</t>
        </is>
      </c>
      <c r="Q20" t="inlineStr">
        <is>
          <t>A06O02</t>
        </is>
      </c>
      <c r="R20" t="inlineStr">
        <is>
          <t>Cuidar da minha saúde física</t>
        </is>
      </c>
      <c r="S20" t="n">
        <v>0.111</v>
      </c>
    </row>
    <row r="21">
      <c r="A21" s="2" t="inlineStr">
        <is>
          <t>Eu mesmo</t>
        </is>
      </c>
      <c r="B21" s="2" t="inlineStr">
        <is>
          <t>Avançado</t>
        </is>
      </c>
      <c r="C21" s="2" t="inlineStr">
        <is>
          <t>Implantar plano alimentar com preparo antecipado (meal prep).</t>
        </is>
      </c>
      <c r="D21" s="9" t="n">
        <v>6</v>
      </c>
      <c r="E21" s="9" t="n">
        <v>3</v>
      </c>
      <c r="F21" s="9" t="n">
        <v>2</v>
      </c>
      <c r="G21" s="9" t="n">
        <v>1</v>
      </c>
      <c r="H21" s="9" t="inlineStr">
        <is>
          <t>d</t>
        </is>
      </c>
      <c r="I21" s="9" t="n"/>
      <c r="J21" s="9" t="n"/>
      <c r="K21" s="9" t="n">
        <v>2</v>
      </c>
      <c r="L21" s="9" t="inlineStr">
        <is>
          <t>s</t>
        </is>
      </c>
      <c r="M21" s="9">
        <f>LEFT(A21,2)&amp;LEFT(B21,1)&amp;TEXT(F21,"000")&amp;"-"&amp;(G21)&amp;H21&amp;(K21)&amp;L21</f>
        <v/>
      </c>
      <c r="N21" s="9" t="n">
        <v>3</v>
      </c>
      <c r="O21" s="2">
        <f>IF(
AND(G21="",H21="",I21="",J21="",K21="",L21=""),
"Fique atento para a primeira oportunidade que surgir",
IF(AND(G21=0,LOWER(H21)="d",K21=0,LOWER(L21)="d"),
"Fique atento para a primeira oportunidade que surgir",
IF(AND(G21=1,LOWER(H21)="d",K21=1,LOWER(L21)="d"),
"Pelo menos uma vez",
IF(G21=0,"O dia inteiro",IF(G21=1,"Uma vez",TEXT(G21,"0")&amp;" vezes")&amp;" por "&amp;IF(LOWER(H21)="d","dia","semana"))
&amp;IF(AND(ISNUMBER(I21),I21&gt;0),", a cada "&amp;TEXT(I21,"0")&amp;" "&amp;IF(I21=1,IF(LOWER(J21)="d","dia","semana"),IF(LOWER(J21)="d","dias","semanas"))&amp;",","")
&amp;" por um período de "&amp;TEXT(K21,"0")&amp;" "&amp;IF(K21=1,IF(LOWER(L21)="d","dia","semana"),IF(LOWER(L21)="d","dias","semanas"))
)
)
)</f>
        <v/>
      </c>
      <c r="P21" t="inlineStr">
        <is>
          <t>A06</t>
        </is>
      </c>
      <c r="Q21" t="inlineStr">
        <is>
          <t>A06O08</t>
        </is>
      </c>
      <c r="R21" t="inlineStr">
        <is>
          <t>Desenvolver um plano de vida com metas claras</t>
        </is>
      </c>
      <c r="S21" t="n">
        <v>0.091</v>
      </c>
    </row>
    <row r="22">
      <c r="A22" s="2" t="inlineStr">
        <is>
          <t>Eu mesmo</t>
        </is>
      </c>
      <c r="B22" s="2" t="inlineStr">
        <is>
          <t>Avançado</t>
        </is>
      </c>
      <c r="C22" s="2" t="inlineStr">
        <is>
          <t>Implementar método GTD/Kanban para tarefas por 3 semanas.</t>
        </is>
      </c>
      <c r="D22" s="9" t="n">
        <v>6</v>
      </c>
      <c r="E22" s="9" t="n">
        <v>3</v>
      </c>
      <c r="F22" s="9" t="n">
        <v>8</v>
      </c>
      <c r="G22" s="9" t="n">
        <v>1</v>
      </c>
      <c r="H22" s="9" t="inlineStr">
        <is>
          <t>d</t>
        </is>
      </c>
      <c r="I22" s="9" t="n">
        <v>3</v>
      </c>
      <c r="J22" s="9" t="inlineStr">
        <is>
          <t>s</t>
        </is>
      </c>
      <c r="K22" s="9" t="n">
        <v>3</v>
      </c>
      <c r="L22" s="9" t="inlineStr">
        <is>
          <t>s</t>
        </is>
      </c>
      <c r="M22" s="9">
        <f>LEFT(A22,2)&amp;LEFT(B22,1)&amp;TEXT(F22,"000")&amp;"-"&amp;(G22)&amp;H22&amp;(K22)&amp;L22</f>
        <v/>
      </c>
      <c r="N22" s="9" t="n">
        <v>3</v>
      </c>
      <c r="O22" s="2">
        <f>IF(
AND(G22="",H22="",I22="",J22="",K22="",L22=""),
"Fique atento para a primeira oportunidade que surgir",
IF(AND(G22=0,LOWER(H22)="d",K22=0,LOWER(L22)="d"),
"Fique atento para a primeira oportunidade que surgir",
IF(AND(G22=1,LOWER(H22)="d",K22=1,LOWER(L22)="d"),
"Pelo menos uma vez",
IF(G22=0,"O dia inteiro",IF(G22=1,"Uma vez",TEXT(G22,"0")&amp;" vezes")&amp;" por "&amp;IF(LOWER(H22)="d","dia","semana"))
&amp;IF(AND(ISNUMBER(I22),I22&gt;0),", a cada "&amp;TEXT(I22,"0")&amp;" "&amp;IF(I22=1,IF(LOWER(J22)="d","dia","semana"),IF(LOWER(J22)="d","dias","semanas"))&amp;",","")
&amp;" por um período de "&amp;TEXT(K22,"0")&amp;" "&amp;IF(K22=1,IF(LOWER(L22)="d","dia","semana"),IF(LOWER(L22)="d","dias","semanas"))
)
)
)</f>
        <v/>
      </c>
      <c r="P22" t="inlineStr">
        <is>
          <t>A06</t>
        </is>
      </c>
      <c r="Q22" t="inlineStr">
        <is>
          <t>A06O01</t>
        </is>
      </c>
      <c r="R22" t="inlineStr">
        <is>
          <t>Me conhecer melhor e valorizar minhas qualidades</t>
        </is>
      </c>
      <c r="S22" t="n">
        <v>0</v>
      </c>
    </row>
    <row r="23">
      <c r="A23" s="2" t="inlineStr">
        <is>
          <t>Eu mesmo</t>
        </is>
      </c>
      <c r="B23" s="2" t="inlineStr">
        <is>
          <t>Desafio</t>
        </is>
      </c>
      <c r="C23" s="2" t="inlineStr">
        <is>
          <t>Ler 20 páginas de um livro edificante.</t>
        </is>
      </c>
      <c r="D23" s="9" t="n">
        <v>6</v>
      </c>
      <c r="E23" s="9" t="n">
        <v>2</v>
      </c>
      <c r="F23" s="9" t="n">
        <v>9</v>
      </c>
      <c r="G23" s="9" t="n">
        <v>1</v>
      </c>
      <c r="H23" s="9" t="inlineStr">
        <is>
          <t>d</t>
        </is>
      </c>
      <c r="I23" s="9" t="n">
        <v>3</v>
      </c>
      <c r="J23" s="9" t="inlineStr">
        <is>
          <t>d</t>
        </is>
      </c>
      <c r="K23" s="9" t="n">
        <v>4</v>
      </c>
      <c r="L23" s="9" t="inlineStr">
        <is>
          <t>s</t>
        </is>
      </c>
      <c r="M23" s="9">
        <f>LEFT(A23,2)&amp;LEFT(B23,1)&amp;TEXT(F23,"000")&amp;"-"&amp;(G23)&amp;H23&amp;(K23)&amp;L23</f>
        <v/>
      </c>
      <c r="N23" s="9" t="n">
        <v>2</v>
      </c>
      <c r="O23" s="2">
        <f>IF(
AND(G23="",H23="",I23="",J23="",K23="",L23=""),
"Fique atento para a primeira oportunidade que surgir",
IF(AND(G23=0,LOWER(H23)="d",K23=0,LOWER(L23)="d"),
"Fique atento para a primeira oportunidade que surgir",
IF(AND(G23=1,LOWER(H23)="d",K23=1,LOWER(L23)="d"),
"Pelo menos uma vez",
IF(G23=0,"O dia inteiro",IF(G23=1,"Uma vez",TEXT(G23,"0")&amp;" vezes")&amp;" por "&amp;IF(LOWER(H23)="d","dia","semana"))
&amp;IF(AND(ISNUMBER(I23),I23&gt;0),", a cada "&amp;TEXT(I23,"0")&amp;" "&amp;IF(I23=1,IF(LOWER(J23)="d","dia","semana"),IF(LOWER(J23)="d","dias","semanas"))&amp;",","")
&amp;" por um período de "&amp;TEXT(K23,"0")&amp;" "&amp;IF(K23=1,IF(LOWER(L23)="d","dia","semana"),IF(LOWER(L23)="d","dias","semanas"))
)
)
)</f>
        <v/>
      </c>
      <c r="P23" t="inlineStr">
        <is>
          <t>A06</t>
        </is>
      </c>
      <c r="Q23" t="inlineStr">
        <is>
          <t>A06O01</t>
        </is>
      </c>
      <c r="R23" t="inlineStr">
        <is>
          <t>Me conhecer melhor e valorizar minhas qualidades</t>
        </is>
      </c>
      <c r="S23" t="n">
        <v>0</v>
      </c>
    </row>
    <row r="24">
      <c r="A24" s="2" t="inlineStr">
        <is>
          <t>Eu mesmo</t>
        </is>
      </c>
      <c r="B24" s="2" t="inlineStr">
        <is>
          <t>Avançado</t>
        </is>
      </c>
      <c r="C24" s="2" t="inlineStr">
        <is>
          <t>Ler um livro inteiro e produzir resenha.</t>
        </is>
      </c>
      <c r="D24" s="9" t="n">
        <v>6</v>
      </c>
      <c r="E24" s="9" t="n">
        <v>3</v>
      </c>
      <c r="F24" s="9" t="n">
        <v>4</v>
      </c>
      <c r="G24" s="9" t="n">
        <v>0</v>
      </c>
      <c r="H24" s="9" t="inlineStr">
        <is>
          <t>d</t>
        </is>
      </c>
      <c r="I24" s="9" t="n"/>
      <c r="J24" s="9" t="n"/>
      <c r="K24" s="9" t="n">
        <v>6</v>
      </c>
      <c r="L24" s="9" t="inlineStr">
        <is>
          <t>s</t>
        </is>
      </c>
      <c r="M24" s="9">
        <f>LEFT(A24,2)&amp;LEFT(B24,1)&amp;TEXT(F24,"000")&amp;"-"&amp;(G24)&amp;H24&amp;(K24)&amp;L24</f>
        <v/>
      </c>
      <c r="N24" s="9" t="n">
        <v>3</v>
      </c>
      <c r="O24" s="2">
        <f>IF(
AND(G24="",H24="",I24="",J24="",K24="",L24=""),
"Fique atento para a primeira oportunidade que surgir",
IF(AND(G24=0,LOWER(H24)="d",K24=0,LOWER(L24)="d"),
"Fique atento para a primeira oportunidade que surgir",
IF(AND(G24=1,LOWER(H24)="d",K24=1,LOWER(L24)="d"),
"Pelo menos uma vez",
IF(G24=0,"O dia inteiro",IF(G24=1,"Uma vez",TEXT(G24,"0")&amp;" vezes")&amp;" por "&amp;IF(LOWER(H24)="d","dia","semana"))
&amp;IF(AND(ISNUMBER(I24),I24&gt;0),", a cada "&amp;TEXT(I24,"0")&amp;" "&amp;IF(I24=1,IF(LOWER(J24)="d","dia","semana"),IF(LOWER(J24)="d","dias","semanas"))&amp;",","")
&amp;" por um período de "&amp;TEXT(K24,"0")&amp;" "&amp;IF(K24=1,IF(LOWER(L24)="d","dia","semana"),IF(LOWER(L24)="d","dias","semanas"))
)
)
)</f>
        <v/>
      </c>
      <c r="P24" t="inlineStr">
        <is>
          <t>A06</t>
        </is>
      </c>
      <c r="Q24" t="inlineStr">
        <is>
          <t>A06O01</t>
        </is>
      </c>
      <c r="R24" t="inlineStr">
        <is>
          <t>Me conhecer melhor e valorizar minhas qualidades</t>
        </is>
      </c>
      <c r="S24" t="n">
        <v>0</v>
      </c>
    </row>
    <row r="25">
      <c r="A25" s="2" t="inlineStr">
        <is>
          <t>Eu mesmo</t>
        </is>
      </c>
      <c r="B25" s="2" t="inlineStr">
        <is>
          <t>Desafio</t>
        </is>
      </c>
      <c r="C25" s="2" t="inlineStr">
        <is>
          <t>Não deixar nada pendente para o próximo dia</t>
        </is>
      </c>
      <c r="D25" s="9" t="n">
        <v>6</v>
      </c>
      <c r="E25" s="9" t="n">
        <v>2</v>
      </c>
      <c r="F25" s="9" t="n">
        <v>10</v>
      </c>
      <c r="G25" s="9" t="n">
        <v>0</v>
      </c>
      <c r="H25" s="9" t="inlineStr">
        <is>
          <t>d</t>
        </is>
      </c>
      <c r="I25" s="9" t="n"/>
      <c r="J25" s="9" t="n"/>
      <c r="K25" s="9" t="n">
        <v>1</v>
      </c>
      <c r="L25" s="9" t="inlineStr">
        <is>
          <t>s</t>
        </is>
      </c>
      <c r="M25" s="9">
        <f>LEFT(A25,2)&amp;LEFT(B25,1)&amp;TEXT(F25,"000")&amp;"-"&amp;(G25)&amp;H25&amp;(K25)&amp;L25</f>
        <v/>
      </c>
      <c r="N25" s="9" t="n">
        <v>2</v>
      </c>
      <c r="O25" s="2">
        <f>IF(
AND(G25="",H25="",I25="",J25="",K25="",L25=""),
"Fique atento para a primeira oportunidade que surgir",
IF(AND(G25=0,LOWER(H25)="d",K25=0,LOWER(L25)="d"),
"Fique atento para a primeira oportunidade que surgir",
IF(AND(G25=1,LOWER(H25)="d",K25=1,LOWER(L25)="d"),
"Pelo menos uma vez",
IF(G25=0,"O dia inteiro",IF(G25=1,"Uma vez",TEXT(G25,"0")&amp;" vezes")&amp;" por "&amp;IF(LOWER(H25)="d","dia","semana"))
&amp;IF(AND(ISNUMBER(I25),I25&gt;0),", a cada "&amp;TEXT(I25,"0")&amp;" "&amp;IF(I25=1,IF(LOWER(J25)="d","dia","semana"),IF(LOWER(J25)="d","dias","semanas"))&amp;",","")
&amp;" por um período de "&amp;TEXT(K25,"0")&amp;" "&amp;IF(K25=1,IF(LOWER(L25)="d","dia","semana"),IF(LOWER(L25)="d","dias","semanas"))
)
)
)</f>
        <v/>
      </c>
      <c r="P25" t="inlineStr">
        <is>
          <t>A06</t>
        </is>
      </c>
      <c r="Q25" t="inlineStr">
        <is>
          <t>A06O01</t>
        </is>
      </c>
      <c r="R25" t="inlineStr">
        <is>
          <t>Me conhecer melhor e valorizar minhas qualidades</t>
        </is>
      </c>
      <c r="S25" t="n">
        <v>0</v>
      </c>
    </row>
    <row r="26">
      <c r="A26" s="2" t="inlineStr">
        <is>
          <t>Eu mesmo</t>
        </is>
      </c>
      <c r="B26" s="2" t="inlineStr">
        <is>
          <t>Desafio</t>
        </is>
      </c>
      <c r="C26" s="2" t="inlineStr">
        <is>
          <t>Organizar e manter uma rotina matinal simples.</t>
        </is>
      </c>
      <c r="D26" s="9" t="n">
        <v>6</v>
      </c>
      <c r="E26" s="9" t="n">
        <v>2</v>
      </c>
      <c r="F26" s="9" t="n">
        <v>12</v>
      </c>
      <c r="G26" s="9" t="n">
        <v>1</v>
      </c>
      <c r="H26" s="9" t="inlineStr">
        <is>
          <t>d</t>
        </is>
      </c>
      <c r="I26" s="9" t="n"/>
      <c r="J26" s="9" t="n"/>
      <c r="K26" s="9" t="n">
        <v>1</v>
      </c>
      <c r="L26" s="9" t="inlineStr">
        <is>
          <t>s</t>
        </is>
      </c>
      <c r="M26" s="9">
        <f>LEFT(A26,2)&amp;LEFT(B26,1)&amp;TEXT(F26,"000")&amp;"-"&amp;(G26)&amp;H26&amp;(K26)&amp;L26</f>
        <v/>
      </c>
      <c r="N26" s="9" t="n">
        <v>2</v>
      </c>
      <c r="O26" s="2">
        <f>IF(
AND(G26="",H26="",I26="",J26="",K26="",L26=""),
"Fique atento para a primeira oportunidade que surgir",
IF(AND(G26=0,LOWER(H26)="d",K26=0,LOWER(L26)="d"),
"Fique atento para a primeira oportunidade que surgir",
IF(AND(G26=1,LOWER(H26)="d",K26=1,LOWER(L26)="d"),
"Pelo menos uma vez",
IF(G26=0,"O dia inteiro",IF(G26=1,"Uma vez",TEXT(G26,"0")&amp;" vezes")&amp;" por "&amp;IF(LOWER(H26)="d","dia","semana"))
&amp;IF(AND(ISNUMBER(I26),I26&gt;0),", a cada "&amp;TEXT(I26,"0")&amp;" "&amp;IF(I26=1,IF(LOWER(J26)="d","dia","semana"),IF(LOWER(J26)="d","dias","semanas"))&amp;",","")
&amp;" por um período de "&amp;TEXT(K26,"0")&amp;" "&amp;IF(K26=1,IF(LOWER(L26)="d","dia","semana"),IF(LOWER(L26)="d","dias","semanas"))
)
)
)</f>
        <v/>
      </c>
      <c r="P26" t="inlineStr">
        <is>
          <t>A06</t>
        </is>
      </c>
      <c r="Q26" t="inlineStr">
        <is>
          <t>A06O01</t>
        </is>
      </c>
      <c r="R26" t="inlineStr">
        <is>
          <t>Me conhecer melhor e valorizar minhas qualidades</t>
        </is>
      </c>
      <c r="S26" t="n">
        <v>0</v>
      </c>
    </row>
    <row r="27">
      <c r="A27" s="2" t="inlineStr">
        <is>
          <t>Eu mesmo</t>
        </is>
      </c>
      <c r="B27" s="2" t="inlineStr">
        <is>
          <t>Básico</t>
        </is>
      </c>
      <c r="C27" s="2" t="inlineStr">
        <is>
          <t>Organizar minha mesa de estudo.</t>
        </is>
      </c>
      <c r="D27" s="9" t="n">
        <v>6</v>
      </c>
      <c r="E27" s="9" t="n">
        <v>1</v>
      </c>
      <c r="F27" s="9" t="n">
        <v>10</v>
      </c>
      <c r="G27" s="9" t="n">
        <v>1</v>
      </c>
      <c r="H27" s="9" t="inlineStr">
        <is>
          <t>d</t>
        </is>
      </c>
      <c r="I27" s="9" t="n"/>
      <c r="J27" s="9" t="n"/>
      <c r="K27" s="9" t="n">
        <v>3</v>
      </c>
      <c r="L27" s="9" t="inlineStr">
        <is>
          <t>s</t>
        </is>
      </c>
      <c r="M27" s="9">
        <f>LEFT(A27,2)&amp;LEFT(B27,1)&amp;TEXT(F27,"000")&amp;"-"&amp;(G27)&amp;H27&amp;(K27)&amp;L27</f>
        <v/>
      </c>
      <c r="N27" s="9" t="n">
        <v>1</v>
      </c>
      <c r="O27" s="2">
        <f>IF(
AND(G27="",H27="",I27="",J27="",K27="",L27=""),
"Fique atento para a primeira oportunidade que surgir",
IF(AND(G27=0,LOWER(H27)="d",K27=0,LOWER(L27)="d"),
"Fique atento para a primeira oportunidade que surgir",
IF(AND(G27=1,LOWER(H27)="d",K27=1,LOWER(L27)="d"),
"Pelo menos uma vez",
IF(G27=0,"O dia inteiro",IF(G27=1,"Uma vez",TEXT(G27,"0")&amp;" vezes")&amp;" por "&amp;IF(LOWER(H27)="d","dia","semana"))
&amp;IF(AND(ISNUMBER(I27),I27&gt;0),", a cada "&amp;TEXT(I27,"0")&amp;" "&amp;IF(I27=1,IF(LOWER(J27)="d","dia","semana"),IF(LOWER(J27)="d","dias","semanas"))&amp;",","")
&amp;" por um período de "&amp;TEXT(K27,"0")&amp;" "&amp;IF(K27=1,IF(LOWER(L27)="d","dia","semana"),IF(LOWER(L27)="d","dias","semanas"))
)
)
)</f>
        <v/>
      </c>
      <c r="P27" t="inlineStr">
        <is>
          <t>A06</t>
        </is>
      </c>
      <c r="Q27" t="inlineStr">
        <is>
          <t>A06O02</t>
        </is>
      </c>
      <c r="R27" t="inlineStr">
        <is>
          <t>Cuidar da minha saúde física</t>
        </is>
      </c>
      <c r="S27" t="n">
        <v>0.143</v>
      </c>
    </row>
    <row r="28">
      <c r="A28" s="2" t="inlineStr">
        <is>
          <t>Eu mesmo</t>
        </is>
      </c>
      <c r="B28" s="2" t="inlineStr">
        <is>
          <t>Desafio</t>
        </is>
      </c>
      <c r="C28" s="2" t="inlineStr">
        <is>
          <t>Planejar cardápio saudável de 2 dias e seguir.</t>
        </is>
      </c>
      <c r="D28" s="9" t="n">
        <v>6</v>
      </c>
      <c r="E28" s="9" t="n">
        <v>2</v>
      </c>
      <c r="F28" s="9" t="n">
        <v>3</v>
      </c>
      <c r="G28" s="9" t="n">
        <v>1</v>
      </c>
      <c r="H28" s="9" t="inlineStr">
        <is>
          <t>d</t>
        </is>
      </c>
      <c r="I28" s="9" t="n">
        <v>1</v>
      </c>
      <c r="J28" s="9" t="inlineStr">
        <is>
          <t>s</t>
        </is>
      </c>
      <c r="K28" s="9" t="n">
        <v>2</v>
      </c>
      <c r="L28" s="9" t="inlineStr">
        <is>
          <t>s</t>
        </is>
      </c>
      <c r="M28" s="9">
        <f>LEFT(A28,2)&amp;LEFT(B28,1)&amp;TEXT(F28,"000")&amp;"-"&amp;(G28)&amp;H28&amp;(K28)&amp;L28</f>
        <v/>
      </c>
      <c r="N28" s="9" t="n">
        <v>2</v>
      </c>
      <c r="O28" s="2">
        <f>IF(
AND(G28="",H28="",I28="",J28="",K28="",L28=""),
"Fique atento para a primeira oportunidade que surgir",
IF(AND(G28=0,LOWER(H28)="d",K28=0,LOWER(L28)="d"),
"Fique atento para a primeira oportunidade que surgir",
IF(AND(G28=1,LOWER(H28)="d",K28=1,LOWER(L28)="d"),
"Pelo menos uma vez",
IF(G28=0,"O dia inteiro",IF(G28=1,"Uma vez",TEXT(G28,"0")&amp;" vezes")&amp;" por "&amp;IF(LOWER(H28)="d","dia","semana"))
&amp;IF(AND(ISNUMBER(I28),I28&gt;0),", a cada "&amp;TEXT(I28,"0")&amp;" "&amp;IF(I28=1,IF(LOWER(J28)="d","dia","semana"),IF(LOWER(J28)="d","dias","semanas"))&amp;",","")
&amp;" por um período de "&amp;TEXT(K28,"0")&amp;" "&amp;IF(K28=1,IF(LOWER(L28)="d","dia","semana"),IF(LOWER(L28)="d","dias","semanas"))
)
)
)</f>
        <v/>
      </c>
      <c r="P28" t="inlineStr">
        <is>
          <t>A06</t>
        </is>
      </c>
      <c r="Q28" t="inlineStr">
        <is>
          <t>A06O01</t>
        </is>
      </c>
      <c r="R28" t="inlineStr">
        <is>
          <t>Me conhecer melhor e valorizar minhas qualidades</t>
        </is>
      </c>
      <c r="S28" t="n">
        <v>0</v>
      </c>
    </row>
    <row r="29">
      <c r="A29" s="2" t="inlineStr">
        <is>
          <t>Eu mesmo</t>
        </is>
      </c>
      <c r="B29" s="2" t="inlineStr">
        <is>
          <t>Desafio</t>
        </is>
      </c>
      <c r="C29" s="2" t="inlineStr">
        <is>
          <t>Praticar alongamento/ mobilidade por 15 minutos.</t>
        </is>
      </c>
      <c r="D29" s="9" t="n">
        <v>6</v>
      </c>
      <c r="E29" s="9" t="n">
        <v>2</v>
      </c>
      <c r="F29" s="9" t="n">
        <v>2</v>
      </c>
      <c r="G29" s="9" t="n">
        <v>1</v>
      </c>
      <c r="H29" s="9" t="inlineStr">
        <is>
          <t>d</t>
        </is>
      </c>
      <c r="I29" s="9" t="n"/>
      <c r="J29" s="9" t="n"/>
      <c r="K29" s="9" t="n">
        <v>3</v>
      </c>
      <c r="L29" s="9" t="inlineStr">
        <is>
          <t>s</t>
        </is>
      </c>
      <c r="M29" s="9">
        <f>LEFT(A29,2)&amp;LEFT(B29,1)&amp;TEXT(F29,"000")&amp;"-"&amp;(G29)&amp;H29&amp;(K29)&amp;L29</f>
        <v/>
      </c>
      <c r="N29" s="9" t="n">
        <v>2</v>
      </c>
      <c r="O29" s="2">
        <f>IF(
AND(G29="",H29="",I29="",J29="",K29="",L29=""),
"Fique atento para a primeira oportunidade que surgir",
IF(AND(G29=0,LOWER(H29)="d",K29=0,LOWER(L29)="d"),
"Fique atento para a primeira oportunidade que surgir",
IF(AND(G29=1,LOWER(H29)="d",K29=1,LOWER(L29)="d"),
"Pelo menos uma vez",
IF(G29=0,"O dia inteiro",IF(G29=1,"Uma vez",TEXT(G29,"0")&amp;" vezes")&amp;" por "&amp;IF(LOWER(H29)="d","dia","semana"))
&amp;IF(AND(ISNUMBER(I29),I29&gt;0),", a cada "&amp;TEXT(I29,"0")&amp;" "&amp;IF(I29=1,IF(LOWER(J29)="d","dia","semana"),IF(LOWER(J29)="d","dias","semanas"))&amp;",","")
&amp;" por um período de "&amp;TEXT(K29,"0")&amp;" "&amp;IF(K29=1,IF(LOWER(L29)="d","dia","semana"),IF(LOWER(L29)="d","dias","semanas"))
)
)
)</f>
        <v/>
      </c>
      <c r="P29" t="inlineStr">
        <is>
          <t>A06</t>
        </is>
      </c>
      <c r="Q29" t="inlineStr">
        <is>
          <t>A06O01</t>
        </is>
      </c>
      <c r="R29" t="inlineStr">
        <is>
          <t>Me conhecer melhor e valorizar minhas qualidades</t>
        </is>
      </c>
      <c r="S29" t="n">
        <v>0</v>
      </c>
    </row>
    <row r="30">
      <c r="A30" s="2" t="inlineStr">
        <is>
          <t>Eu mesmo</t>
        </is>
      </c>
      <c r="B30" s="2" t="inlineStr">
        <is>
          <t>Avançado</t>
        </is>
      </c>
      <c r="C30" s="2" t="inlineStr">
        <is>
          <t>Praticar gratidão diária com 3 registros por 21 dias.</t>
        </is>
      </c>
      <c r="D30" s="9" t="n">
        <v>6</v>
      </c>
      <c r="E30" s="9" t="n">
        <v>3</v>
      </c>
      <c r="F30" s="9" t="n">
        <v>13</v>
      </c>
      <c r="G30" s="9" t="n">
        <v>3</v>
      </c>
      <c r="H30" s="9" t="inlineStr">
        <is>
          <t>d</t>
        </is>
      </c>
      <c r="I30" s="9" t="n"/>
      <c r="J30" s="9" t="n"/>
      <c r="K30" s="9" t="n">
        <v>3</v>
      </c>
      <c r="L30" s="9" t="inlineStr">
        <is>
          <t>s</t>
        </is>
      </c>
      <c r="M30" s="9">
        <f>LEFT(A30,2)&amp;LEFT(B30,1)&amp;TEXT(F30,"000")&amp;"-"&amp;(G30)&amp;H30&amp;(K30)&amp;L30</f>
        <v/>
      </c>
      <c r="N30" s="9" t="n">
        <v>3</v>
      </c>
      <c r="O30" s="2">
        <f>IF(
AND(G30="",H30="",I30="",J30="",K30="",L30=""),
"Fique atento para a primeira oportunidade que surgir",
IF(AND(G30=0,LOWER(H30)="d",K30=0,LOWER(L30)="d"),
"Fique atento para a primeira oportunidade que surgir",
IF(AND(G30=1,LOWER(H30)="d",K30=1,LOWER(L30)="d"),
"Pelo menos uma vez",
IF(G30=0,"O dia inteiro",IF(G30=1,"Uma vez",TEXT(G30,"0")&amp;" vezes")&amp;" por "&amp;IF(LOWER(H30)="d","dia","semana"))
&amp;IF(AND(ISNUMBER(I30),I30&gt;0),", a cada "&amp;TEXT(I30,"0")&amp;" "&amp;IF(I30=1,IF(LOWER(J30)="d","dia","semana"),IF(LOWER(J30)="d","dias","semanas"))&amp;",","")
&amp;" por um período de "&amp;TEXT(K30,"0")&amp;" "&amp;IF(K30=1,IF(LOWER(L30)="d","dia","semana"),IF(LOWER(L30)="d","dias","semanas"))
)
)
)</f>
        <v/>
      </c>
      <c r="P30" t="inlineStr">
        <is>
          <t>A06</t>
        </is>
      </c>
      <c r="Q30" t="inlineStr">
        <is>
          <t>A06O01</t>
        </is>
      </c>
      <c r="R30" t="inlineStr">
        <is>
          <t>Me conhecer melhor e valorizar minhas qualidades</t>
        </is>
      </c>
      <c r="S30" t="n">
        <v>0</v>
      </c>
    </row>
    <row r="31">
      <c r="A31" s="2" t="inlineStr">
        <is>
          <t>Eu mesmo</t>
        </is>
      </c>
      <c r="B31" s="2" t="inlineStr">
        <is>
          <t>Desafio</t>
        </is>
      </c>
      <c r="C31" s="2" t="inlineStr">
        <is>
          <t>Praticar journaling de 10 minutos com perguntas guias.</t>
        </is>
      </c>
      <c r="D31" s="9" t="n">
        <v>6</v>
      </c>
      <c r="E31" s="9" t="n">
        <v>2</v>
      </c>
      <c r="F31" s="9" t="n">
        <v>6</v>
      </c>
      <c r="G31" s="9" t="n">
        <v>1</v>
      </c>
      <c r="H31" s="9" t="inlineStr">
        <is>
          <t>s</t>
        </is>
      </c>
      <c r="I31" s="9" t="n">
        <v>2</v>
      </c>
      <c r="J31" s="9" t="inlineStr">
        <is>
          <t>s</t>
        </is>
      </c>
      <c r="K31" s="9" t="n">
        <v>4</v>
      </c>
      <c r="L31" s="9" t="inlineStr">
        <is>
          <t>s</t>
        </is>
      </c>
      <c r="M31" s="9">
        <f>LEFT(A31,2)&amp;LEFT(B31,1)&amp;TEXT(F31,"000")&amp;"-"&amp;(G31)&amp;H31&amp;(K31)&amp;L31</f>
        <v/>
      </c>
      <c r="N31" s="9" t="n">
        <v>2</v>
      </c>
      <c r="O31" s="2">
        <f>IF(
AND(G31="",H31="",I31="",J31="",K31="",L31=""),
"Fique atento para a primeira oportunidade que surgir",
IF(AND(G31=0,LOWER(H31)="d",K31=0,LOWER(L31)="d"),
"Fique atento para a primeira oportunidade que surgir",
IF(AND(G31=1,LOWER(H31)="d",K31=1,LOWER(L31)="d"),
"Pelo menos uma vez",
IF(G31=0,"O dia inteiro",IF(G31=1,"Uma vez",TEXT(G31,"0")&amp;" vezes")&amp;" por "&amp;IF(LOWER(H31)="d","dia","semana"))
&amp;IF(AND(ISNUMBER(I31),I31&gt;0),", a cada "&amp;TEXT(I31,"0")&amp;" "&amp;IF(I31=1,IF(LOWER(J31)="d","dia","semana"),IF(LOWER(J31)="d","dias","semanas"))&amp;",","")
&amp;" por um período de "&amp;TEXT(K31,"0")&amp;" "&amp;IF(K31=1,IF(LOWER(L31)="d","dia","semana"),IF(LOWER(L31)="d","dias","semanas"))
)
)
)</f>
        <v/>
      </c>
      <c r="P31" t="inlineStr">
        <is>
          <t>A06</t>
        </is>
      </c>
      <c r="Q31" t="inlineStr">
        <is>
          <t>A06O01</t>
        </is>
      </c>
      <c r="R31" t="inlineStr">
        <is>
          <t>Me conhecer melhor e valorizar minhas qualidades</t>
        </is>
      </c>
      <c r="S31" t="n">
        <v>0</v>
      </c>
    </row>
    <row r="32">
      <c r="A32" s="2" t="inlineStr">
        <is>
          <t>Eu mesmo</t>
        </is>
      </c>
      <c r="B32" s="2" t="inlineStr">
        <is>
          <t>Avançado</t>
        </is>
      </c>
      <c r="C32" s="2" t="inlineStr">
        <is>
          <t>Praticar meditação/oração guiada 15 min por 21 dias.</t>
        </is>
      </c>
      <c r="D32" s="9" t="n">
        <v>6</v>
      </c>
      <c r="E32" s="9" t="n">
        <v>3</v>
      </c>
      <c r="F32" s="9" t="n">
        <v>5</v>
      </c>
      <c r="G32" s="9" t="n">
        <v>1</v>
      </c>
      <c r="H32" s="9" t="inlineStr">
        <is>
          <t>d</t>
        </is>
      </c>
      <c r="I32" s="9" t="n"/>
      <c r="J32" s="9" t="n"/>
      <c r="K32" s="9" t="n">
        <v>21</v>
      </c>
      <c r="L32" s="9" t="inlineStr">
        <is>
          <t>d</t>
        </is>
      </c>
      <c r="M32" s="9">
        <f>LEFT(A32,2)&amp;LEFT(B32,1)&amp;TEXT(F32,"000")&amp;"-"&amp;(G32)&amp;H32&amp;(K32)&amp;L32</f>
        <v/>
      </c>
      <c r="N32" s="9" t="n">
        <v>3</v>
      </c>
      <c r="O32" s="2">
        <f>IF(
AND(G32="",H32="",I32="",J32="",K32="",L32=""),
"Fique atento para a primeira oportunidade que surgir",
IF(AND(G32=0,LOWER(H32)="d",K32=0,LOWER(L32)="d"),
"Fique atento para a primeira oportunidade que surgir",
IF(AND(G32=1,LOWER(H32)="d",K32=1,LOWER(L32)="d"),
"Pelo menos uma vez",
IF(G32=0,"O dia inteiro",IF(G32=1,"Uma vez",TEXT(G32,"0")&amp;" vezes")&amp;" por "&amp;IF(LOWER(H32)="d","dia","semana"))
&amp;IF(AND(ISNUMBER(I32),I32&gt;0),", a cada "&amp;TEXT(I32,"0")&amp;" "&amp;IF(I32=1,IF(LOWER(J32)="d","dia","semana"),IF(LOWER(J32)="d","dias","semanas"))&amp;",","")
&amp;" por um período de "&amp;TEXT(K32,"0")&amp;" "&amp;IF(K32=1,IF(LOWER(L32)="d","dia","semana"),IF(LOWER(L32)="d","dias","semanas"))
)
)
)</f>
        <v/>
      </c>
      <c r="P32" t="inlineStr">
        <is>
          <t>A06</t>
        </is>
      </c>
      <c r="Q32" t="inlineStr">
        <is>
          <t>A06O01</t>
        </is>
      </c>
      <c r="R32" t="inlineStr">
        <is>
          <t>Me conhecer melhor e valorizar minhas qualidades</t>
        </is>
      </c>
      <c r="S32" t="n">
        <v>0</v>
      </c>
    </row>
    <row r="33">
      <c r="A33" s="2" t="inlineStr">
        <is>
          <t>Eu mesmo</t>
        </is>
      </c>
      <c r="B33" s="2" t="inlineStr">
        <is>
          <t>Desafio</t>
        </is>
      </c>
      <c r="C33" s="2" t="inlineStr">
        <is>
          <t>Realizar jejum digital por 6 horas no dia.</t>
        </is>
      </c>
      <c r="D33" s="9" t="n">
        <v>6</v>
      </c>
      <c r="E33" s="9" t="n">
        <v>2</v>
      </c>
      <c r="F33" s="9" t="n">
        <v>4</v>
      </c>
      <c r="G33" s="9" t="n">
        <v>1</v>
      </c>
      <c r="H33" s="9" t="inlineStr">
        <is>
          <t>d</t>
        </is>
      </c>
      <c r="I33" s="9" t="n">
        <v>3</v>
      </c>
      <c r="J33" s="9" t="inlineStr">
        <is>
          <t>s</t>
        </is>
      </c>
      <c r="K33" s="9" t="n">
        <v>3</v>
      </c>
      <c r="L33" s="9" t="inlineStr">
        <is>
          <t>s</t>
        </is>
      </c>
      <c r="M33" s="9">
        <f>LEFT(A33,2)&amp;LEFT(B33,1)&amp;TEXT(F33,"000")&amp;"-"&amp;(G33)&amp;H33&amp;(K33)&amp;L33</f>
        <v/>
      </c>
      <c r="N33" s="9" t="n">
        <v>2</v>
      </c>
      <c r="O33" s="2">
        <f>IF(
AND(G33="",H33="",I33="",J33="",K33="",L33=""),
"Fique atento para a primeira oportunidade que surgir",
IF(AND(G33=0,LOWER(H33)="d",K33=0,LOWER(L33)="d"),
"Fique atento para a primeira oportunidade que surgir",
IF(AND(G33=1,LOWER(H33)="d",K33=1,LOWER(L33)="d"),
"Pelo menos uma vez",
IF(G33=0,"O dia inteiro",IF(G33=1,"Uma vez",TEXT(G33,"0")&amp;" vezes")&amp;" por "&amp;IF(LOWER(H33)="d","dia","semana"))
&amp;IF(AND(ISNUMBER(I33),I33&gt;0),", a cada "&amp;TEXT(I33,"0")&amp;" "&amp;IF(I33=1,IF(LOWER(J33)="d","dia","semana"),IF(LOWER(J33)="d","dias","semanas"))&amp;",","")
&amp;" por um período de "&amp;TEXT(K33,"0")&amp;" "&amp;IF(K33=1,IF(LOWER(L33)="d","dia","semana"),IF(LOWER(L33)="d","dias","semanas"))
)
)
)</f>
        <v/>
      </c>
      <c r="P33" t="inlineStr">
        <is>
          <t>A06</t>
        </is>
      </c>
      <c r="Q33" t="inlineStr">
        <is>
          <t>A06O01</t>
        </is>
      </c>
      <c r="R33" t="inlineStr">
        <is>
          <t>Me conhecer melhor e valorizar minhas qualidades</t>
        </is>
      </c>
      <c r="S33" t="n">
        <v>0</v>
      </c>
    </row>
    <row r="34">
      <c r="A34" s="2" t="inlineStr">
        <is>
          <t>Eu mesmo</t>
        </is>
      </c>
      <c r="B34" s="2" t="inlineStr">
        <is>
          <t>Avançado</t>
        </is>
      </c>
      <c r="C34" s="2" t="inlineStr">
        <is>
          <t>Realizar projeto pessoal (música, arte, código) com entregável.</t>
        </is>
      </c>
      <c r="D34" s="9" t="n">
        <v>6</v>
      </c>
      <c r="E34" s="9" t="n">
        <v>3</v>
      </c>
      <c r="F34" s="9" t="n">
        <v>7</v>
      </c>
      <c r="G34" s="9" t="n">
        <v>1</v>
      </c>
      <c r="H34" s="9" t="inlineStr">
        <is>
          <t>d</t>
        </is>
      </c>
      <c r="I34" s="9" t="n"/>
      <c r="J34" s="9" t="n"/>
      <c r="K34" s="9" t="n">
        <v>0</v>
      </c>
      <c r="L34" s="9" t="inlineStr">
        <is>
          <t>d</t>
        </is>
      </c>
      <c r="M34" s="9">
        <f>LEFT(A34,2)&amp;LEFT(B34,1)&amp;TEXT(F34,"000")&amp;"-"&amp;(G34)&amp;H34&amp;(K34)&amp;L34</f>
        <v/>
      </c>
      <c r="N34" s="9" t="n">
        <v>3</v>
      </c>
      <c r="O34" s="2">
        <f>IF(
AND(G34="",H34="",I34="",J34="",K34="",L34=""),
"Fique atento para a primeira oportunidade que surgir",
IF(AND(G34=0,LOWER(H34)="d",K34=0,LOWER(L34)="d"),
"Fique atento para a primeira oportunidade que surgir",
IF(AND(G34=1,LOWER(H34)="d",K34=1,LOWER(L34)="d"),
"Pelo menos uma vez",
IF(G34=0,"O dia inteiro",IF(G34=1,"Uma vez",TEXT(G34,"0")&amp;" vezes")&amp;" por "&amp;IF(LOWER(H34)="d","dia","semana"))
&amp;IF(AND(ISNUMBER(I34),I34&gt;0),", a cada "&amp;TEXT(I34,"0")&amp;" "&amp;IF(I34=1,IF(LOWER(J34)="d","dia","semana"),IF(LOWER(J34)="d","dias","semanas"))&amp;",","")
&amp;" por um período de "&amp;TEXT(K34,"0")&amp;" "&amp;IF(K34=1,IF(LOWER(L34)="d","dia","semana"),IF(LOWER(L34)="d","dias","semanas"))
)
)
)</f>
        <v/>
      </c>
      <c r="P34" t="inlineStr">
        <is>
          <t>A06</t>
        </is>
      </c>
      <c r="Q34" t="inlineStr">
        <is>
          <t>A06O01</t>
        </is>
      </c>
      <c r="R34" t="inlineStr">
        <is>
          <t>Me conhecer melhor e valorizar minhas qualidades</t>
        </is>
      </c>
      <c r="S34" t="n">
        <v>0</v>
      </c>
    </row>
    <row r="35">
      <c r="A35" s="2" t="inlineStr">
        <is>
          <t>Eu mesmo</t>
        </is>
      </c>
      <c r="B35" s="2" t="inlineStr">
        <is>
          <t>Desafio</t>
        </is>
      </c>
      <c r="C35" s="2" t="inlineStr">
        <is>
          <t>Reduzir açúcar e eliminar refrigerante</t>
        </is>
      </c>
      <c r="D35" s="9" t="n">
        <v>6</v>
      </c>
      <c r="E35" s="9" t="n">
        <v>2</v>
      </c>
      <c r="F35" s="9" t="n">
        <v>11</v>
      </c>
      <c r="G35" s="9" t="n">
        <v>0</v>
      </c>
      <c r="H35" s="9" t="inlineStr">
        <is>
          <t>d</t>
        </is>
      </c>
      <c r="I35" s="9" t="n"/>
      <c r="J35" s="9" t="n"/>
      <c r="K35" s="9" t="n">
        <v>3</v>
      </c>
      <c r="L35" s="9" t="inlineStr">
        <is>
          <t>d</t>
        </is>
      </c>
      <c r="M35" s="9">
        <f>LEFT(A35,2)&amp;LEFT(B35,1)&amp;TEXT(F35,"000")&amp;"-"&amp;(G35)&amp;H35&amp;(K35)&amp;L35</f>
        <v/>
      </c>
      <c r="N35" s="9" t="n">
        <v>2</v>
      </c>
      <c r="O35" s="2">
        <f>IF(
AND(G35="",H35="",I35="",J35="",K35="",L35=""),
"Fique atento para a primeira oportunidade que surgir",
IF(AND(G35=0,LOWER(H35)="d",K35=0,LOWER(L35)="d"),
"Fique atento para a primeira oportunidade que surgir",
IF(AND(G35=1,LOWER(H35)="d",K35=1,LOWER(L35)="d"),
"Pelo menos uma vez",
IF(G35=0,"O dia inteiro",IF(G35=1,"Uma vez",TEXT(G35,"0")&amp;" vezes")&amp;" por "&amp;IF(LOWER(H35)="d","dia","semana"))
&amp;IF(AND(ISNUMBER(I35),I35&gt;0),", a cada "&amp;TEXT(I35,"0")&amp;" "&amp;IF(I35=1,IF(LOWER(J35)="d","dia","semana"),IF(LOWER(J35)="d","dias","semanas"))&amp;",","")
&amp;" por um período de "&amp;TEXT(K35,"0")&amp;" "&amp;IF(K35=1,IF(LOWER(L35)="d","dia","semana"),IF(LOWER(L35)="d","dias","semanas"))
)
)
)</f>
        <v/>
      </c>
      <c r="P35" t="inlineStr">
        <is>
          <t>A06</t>
        </is>
      </c>
      <c r="Q35" t="inlineStr">
        <is>
          <t>A06O01</t>
        </is>
      </c>
      <c r="R35" t="inlineStr">
        <is>
          <t>Me conhecer melhor e valorizar minhas qualidades</t>
        </is>
      </c>
      <c r="S35" t="n">
        <v>0</v>
      </c>
    </row>
    <row r="36">
      <c r="A36" s="2" t="inlineStr">
        <is>
          <t>Eu mesmo</t>
        </is>
      </c>
      <c r="B36" s="2" t="inlineStr">
        <is>
          <t>Básico</t>
        </is>
      </c>
      <c r="C36" s="2" t="inlineStr">
        <is>
          <t>Selecionar música que me eleve espiritualmente.</t>
        </is>
      </c>
      <c r="D36" s="9" t="n">
        <v>6</v>
      </c>
      <c r="E36" s="9" t="n">
        <v>1</v>
      </c>
      <c r="F36" s="9" t="n">
        <v>8</v>
      </c>
      <c r="G36" s="9" t="n">
        <v>0</v>
      </c>
      <c r="H36" s="9" t="inlineStr">
        <is>
          <t>d</t>
        </is>
      </c>
      <c r="I36" s="9" t="n"/>
      <c r="J36" s="9" t="n"/>
      <c r="K36" s="9" t="n">
        <v>3</v>
      </c>
      <c r="L36" s="9" t="inlineStr">
        <is>
          <t>s</t>
        </is>
      </c>
      <c r="M36" s="9">
        <f>LEFT(A36,2)&amp;LEFT(B36,1)&amp;TEXT(F36,"000")&amp;"-"&amp;(G36)&amp;H36&amp;(K36)&amp;L36</f>
        <v/>
      </c>
      <c r="N36" s="9" t="n">
        <v>1</v>
      </c>
      <c r="O36" s="2">
        <f>IF(
AND(G36="",H36="",I36="",J36="",K36="",L36=""),
"Fique atento para a primeira oportunidade que surgir",
IF(AND(G36=0,LOWER(H36)="d",K36=0,LOWER(L36)="d"),
"Fique atento para a primeira oportunidade que surgir",
IF(AND(G36=1,LOWER(H36)="d",K36=1,LOWER(L36)="d"),
"Pelo menos uma vez",
IF(G36=0,"O dia inteiro",IF(G36=1,"Uma vez",TEXT(G36,"0")&amp;" vezes")&amp;" por "&amp;IF(LOWER(H36)="d","dia","semana"))
&amp;IF(AND(ISNUMBER(I36),I36&gt;0),", a cada "&amp;TEXT(I36,"0")&amp;" "&amp;IF(I36=1,IF(LOWER(J36)="d","dia","semana"),IF(LOWER(J36)="d","dias","semanas"))&amp;",","")
&amp;" por um período de "&amp;TEXT(K36,"0")&amp;" "&amp;IF(K36=1,IF(LOWER(L36)="d","dia","semana"),IF(LOWER(L36)="d","dias","semanas"))
)
)
)</f>
        <v/>
      </c>
      <c r="P36" t="inlineStr">
        <is>
          <t>A06</t>
        </is>
      </c>
      <c r="Q36" t="inlineStr">
        <is>
          <t>A06O01</t>
        </is>
      </c>
      <c r="R36" t="inlineStr">
        <is>
          <t>Me conhecer melhor e valorizar minhas qualidades</t>
        </is>
      </c>
      <c r="S36" t="n">
        <v>0</v>
      </c>
    </row>
    <row r="37">
      <c r="A37" s="2" t="inlineStr">
        <is>
          <t>Eu mesmo</t>
        </is>
      </c>
      <c r="B37" s="2" t="inlineStr">
        <is>
          <t>Básico</t>
        </is>
      </c>
      <c r="C37" s="2" t="inlineStr">
        <is>
          <t>Separar 5 minutos para respirar ou orar sozinho.</t>
        </is>
      </c>
      <c r="D37" s="9" t="n">
        <v>6</v>
      </c>
      <c r="E37" s="9" t="n">
        <v>1</v>
      </c>
      <c r="F37" s="9" t="n">
        <v>4</v>
      </c>
      <c r="G37" s="9" t="n">
        <v>1</v>
      </c>
      <c r="H37" s="9" t="inlineStr">
        <is>
          <t>d</t>
        </is>
      </c>
      <c r="I37" s="9" t="n"/>
      <c r="J37" s="9" t="n"/>
      <c r="K37" s="9" t="n">
        <v>1</v>
      </c>
      <c r="L37" s="9" t="inlineStr">
        <is>
          <t>s</t>
        </is>
      </c>
      <c r="M37" s="9">
        <f>LEFT(A37,2)&amp;LEFT(B37,1)&amp;TEXT(F37,"000")&amp;"-"&amp;(G37)&amp;H37&amp;(K37)&amp;L37</f>
        <v/>
      </c>
      <c r="N37" s="9" t="n">
        <v>1</v>
      </c>
      <c r="O37" s="2">
        <f>IF(
AND(G37="",H37="",I37="",J37="",K37="",L37=""),
"Fique atento para a primeira oportunidade que surgir",
IF(AND(G37=0,LOWER(H37)="d",K37=0,LOWER(L37)="d"),
"Fique atento para a primeira oportunidade que surgir",
IF(AND(G37=1,LOWER(H37)="d",K37=1,LOWER(L37)="d"),
"Pelo menos uma vez",
IF(G37=0,"O dia inteiro",IF(G37=1,"Uma vez",TEXT(G37,"0")&amp;" vezes")&amp;" por "&amp;IF(LOWER(H37)="d","dia","semana"))
&amp;IF(AND(ISNUMBER(I37),I37&gt;0),", a cada "&amp;TEXT(I37,"0")&amp;" "&amp;IF(I37=1,IF(LOWER(J37)="d","dia","semana"),IF(LOWER(J37)="d","dias","semanas"))&amp;",","")
&amp;" por um período de "&amp;TEXT(K37,"0")&amp;" "&amp;IF(K37=1,IF(LOWER(L37)="d","dia","semana"),IF(LOWER(L37)="d","dias","semanas"))
)
)
)</f>
        <v/>
      </c>
      <c r="P37" t="inlineStr">
        <is>
          <t>A06</t>
        </is>
      </c>
      <c r="Q37" t="inlineStr">
        <is>
          <t>A06O01</t>
        </is>
      </c>
      <c r="R37" t="inlineStr">
        <is>
          <t>Me conhecer melhor e valorizar minhas qualidades</t>
        </is>
      </c>
      <c r="S37" t="n">
        <v>0</v>
      </c>
    </row>
    <row r="38">
      <c r="A38" s="2" t="inlineStr">
        <is>
          <t>Eu mesmo</t>
        </is>
      </c>
      <c r="B38" s="2" t="inlineStr">
        <is>
          <t>Básico</t>
        </is>
      </c>
      <c r="C38" s="2" t="inlineStr">
        <is>
          <t>Tomar água antes de usar o celular de manhã.</t>
        </is>
      </c>
      <c r="D38" s="9" t="n">
        <v>6</v>
      </c>
      <c r="E38" s="9" t="n">
        <v>1</v>
      </c>
      <c r="F38" s="9" t="n">
        <v>2</v>
      </c>
      <c r="G38" s="9" t="n">
        <v>1</v>
      </c>
      <c r="H38" s="9" t="inlineStr">
        <is>
          <t>d</t>
        </is>
      </c>
      <c r="I38" s="9" t="n"/>
      <c r="J38" s="9" t="n"/>
      <c r="K38" s="9" t="n">
        <v>3</v>
      </c>
      <c r="L38" s="9" t="inlineStr">
        <is>
          <t>s</t>
        </is>
      </c>
      <c r="M38" s="9">
        <f>LEFT(A38,2)&amp;LEFT(B38,1)&amp;TEXT(F38,"000")&amp;"-"&amp;(G38)&amp;H38&amp;(K38)&amp;L38</f>
        <v/>
      </c>
      <c r="N38" s="9" t="n">
        <v>1</v>
      </c>
      <c r="O38" s="2">
        <f>IF(
AND(G38="",H38="",I38="",J38="",K38="",L38=""),
"Fique atento para a primeira oportunidade que surgir",
IF(AND(G38=0,LOWER(H38)="d",K38=0,LOWER(L38)="d"),
"Fique atento para a primeira oportunidade que surgir",
IF(AND(G38=1,LOWER(H38)="d",K38=1,LOWER(L38)="d"),
"Pelo menos uma vez",
IF(G38=0,"O dia inteiro",IF(G38=1,"Uma vez",TEXT(G38,"0")&amp;" vezes")&amp;" por "&amp;IF(LOWER(H38)="d","dia","semana"))
&amp;IF(AND(ISNUMBER(I38),I38&gt;0),", a cada "&amp;TEXT(I38,"0")&amp;" "&amp;IF(I38=1,IF(LOWER(J38)="d","dia","semana"),IF(LOWER(J38)="d","dias","semanas"))&amp;",","")
&amp;" por um período de "&amp;TEXT(K38,"0")&amp;" "&amp;IF(K38=1,IF(LOWER(L38)="d","dia","semana"),IF(LOWER(L38)="d","dias","semanas"))
)
)
)</f>
        <v/>
      </c>
      <c r="P38" t="inlineStr">
        <is>
          <t>A06</t>
        </is>
      </c>
      <c r="Q38" t="inlineStr">
        <is>
          <t>A06O03</t>
        </is>
      </c>
      <c r="R38" t="inlineStr">
        <is>
          <t>Controlar meu tempo no celular e redes</t>
        </is>
      </c>
      <c r="S38" t="n">
        <v>0.1</v>
      </c>
    </row>
    <row r="39">
      <c r="A39" s="2" t="inlineStr">
        <is>
          <t>Eu mesmo</t>
        </is>
      </c>
      <c r="B39" s="2" t="inlineStr">
        <is>
          <t>Avançado</t>
        </is>
      </c>
      <c r="C39" s="2" t="inlineStr">
        <is>
          <t>Zerar notificações e estabelecer janelas de uso por 21 dias.</t>
        </is>
      </c>
      <c r="D39" s="9" t="n">
        <v>6</v>
      </c>
      <c r="E39" s="9" t="n">
        <v>3</v>
      </c>
      <c r="F39" s="9" t="n">
        <v>3</v>
      </c>
      <c r="G39" s="9" t="n">
        <v>1</v>
      </c>
      <c r="H39" s="9" t="inlineStr">
        <is>
          <t>d</t>
        </is>
      </c>
      <c r="I39" s="9" t="n"/>
      <c r="J39" s="9" t="n"/>
      <c r="K39" s="9" t="n">
        <v>21</v>
      </c>
      <c r="L39" s="9" t="inlineStr">
        <is>
          <t>d</t>
        </is>
      </c>
      <c r="M39" s="9">
        <f>LEFT(A39,2)&amp;LEFT(B39,1)&amp;TEXT(F39,"000")&amp;"-"&amp;(G39)&amp;H39&amp;(K39)&amp;L39</f>
        <v/>
      </c>
      <c r="N39" s="9" t="n">
        <v>3</v>
      </c>
      <c r="O39" s="2">
        <f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/>
      </c>
      <c r="P39" t="inlineStr">
        <is>
          <t>A06</t>
        </is>
      </c>
      <c r="Q39" t="inlineStr">
        <is>
          <t>A06O01</t>
        </is>
      </c>
      <c r="R39" t="inlineStr">
        <is>
          <t>Me conhecer melhor e valorizar minhas qualidades</t>
        </is>
      </c>
      <c r="S39" t="n">
        <v>0</v>
      </c>
    </row>
    <row r="41">
      <c r="A41" s="4" t="n"/>
      <c r="B41" s="4" t="n"/>
    </row>
  </sheetData>
  <dataValidations disablePrompts="1" count="1">
    <dataValidation sqref="D2:D1038 F2:F1038 H2:H1038" showErrorMessage="1" showInputMessage="1" allowBlank="1" errorTitle="Número inválido" error="Informe um número inteiro maior ou igual a 0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tabSelected="1" topLeftCell="C1" zoomScaleNormal="100" workbookViewId="0">
      <pane ySplit="1" topLeftCell="A26" activePane="bottomLeft" state="frozen"/>
      <selection pane="bottomLeft" activeCell="C16" sqref="C16"/>
    </sheetView>
  </sheetViews>
  <sheetFormatPr baseColWidth="8" defaultRowHeight="15"/>
  <cols>
    <col width="7.5703125" bestFit="1" customWidth="1" min="1" max="1"/>
    <col width="11.85546875" customWidth="1" min="2" max="2"/>
    <col width="61.42578125" bestFit="1" customWidth="1" min="3" max="3"/>
    <col width="5" customWidth="1" style="10" min="4" max="12"/>
    <col width="14.42578125" bestFit="1" customWidth="1" min="13" max="13"/>
    <col width="3.7109375" bestFit="1" customWidth="1" style="10" min="14" max="14"/>
    <col width="39.28515625" bestFit="1" customWidth="1" min="15" max="15"/>
  </cols>
  <sheetData>
    <row r="1" ht="86.25" customFormat="1" customHeight="1" s="17">
      <c r="A1" s="14" t="inlineStr">
        <is>
          <t>Area</t>
        </is>
      </c>
      <c r="B1" s="14" t="inlineStr">
        <is>
          <t>Nivel</t>
        </is>
      </c>
      <c r="C1" s="15" t="inlineStr">
        <is>
          <t>Estrategia</t>
        </is>
      </c>
      <c r="D1" s="15" t="inlineStr">
        <is>
          <t>OrdemArea</t>
        </is>
      </c>
      <c r="E1" s="15" t="inlineStr">
        <is>
          <t>OrdemNivel</t>
        </is>
      </c>
      <c r="F1" s="15" t="inlineStr">
        <is>
          <t>OrdemEstrategia</t>
        </is>
      </c>
      <c r="G1" s="15" t="inlineStr">
        <is>
          <t>FreqNum</t>
        </is>
      </c>
      <c r="H1" s="15" t="inlineStr">
        <is>
          <t>FreqUnid</t>
        </is>
      </c>
      <c r="I1" s="15" t="inlineStr">
        <is>
          <t>CadenciaNum</t>
        </is>
      </c>
      <c r="J1" s="15" t="inlineStr">
        <is>
          <t>CadenciaUnid</t>
        </is>
      </c>
      <c r="K1" s="15" t="inlineStr">
        <is>
          <t>PeriodoNum</t>
        </is>
      </c>
      <c r="L1" s="15" t="inlineStr">
        <is>
          <t>PeriodoUnid</t>
        </is>
      </c>
      <c r="M1" s="13" t="inlineStr">
        <is>
          <t>CODIGO</t>
        </is>
      </c>
      <c r="N1" s="13" t="inlineStr">
        <is>
          <t>Peso</t>
        </is>
      </c>
      <c r="O1" s="13" t="inlineStr">
        <is>
          <t>Descrição da Dosagem</t>
        </is>
      </c>
      <c r="P1" s="16" t="inlineStr">
        <is>
          <t>CodArea</t>
        </is>
      </c>
      <c r="Q1" s="16" t="inlineStr">
        <is>
          <t>CodObjetivoSugerido</t>
        </is>
      </c>
      <c r="R1" s="16" t="inlineStr">
        <is>
          <t>DescObjetivoSugerida</t>
        </is>
      </c>
      <c r="S1" s="16" t="inlineStr">
        <is>
          <t>ScoreAlinhamento</t>
        </is>
      </c>
    </row>
    <row r="2">
      <c r="A2" s="2" t="inlineStr">
        <is>
          <t>Amigos</t>
        </is>
      </c>
      <c r="B2" s="2" t="inlineStr">
        <is>
          <t>Básico</t>
        </is>
      </c>
      <c r="C2" s="2" t="inlineStr">
        <is>
          <t>Mandar uma mensagem positiva para um amigo.</t>
        </is>
      </c>
      <c r="D2" s="8" t="n">
        <v>4</v>
      </c>
      <c r="E2" s="8" t="n">
        <v>1</v>
      </c>
      <c r="F2" s="8" t="n">
        <v>1</v>
      </c>
      <c r="G2" s="9" t="n">
        <v>1</v>
      </c>
      <c r="H2" s="9" t="inlineStr">
        <is>
          <t>d</t>
        </is>
      </c>
      <c r="I2" s="9" t="n">
        <v>3</v>
      </c>
      <c r="J2" s="9" t="inlineStr">
        <is>
          <t>d</t>
        </is>
      </c>
      <c r="K2" s="9" t="n">
        <v>7</v>
      </c>
      <c r="L2" s="9" t="inlineStr">
        <is>
          <t>d</t>
        </is>
      </c>
      <c r="M2" s="9">
        <f>LEFT(A2,2)&amp;LEFT(B2,1)&amp;TEXT(F2,"000")&amp;"-"&amp;IF(
  AND(G2="",H2="",K2="",L2=""),
  "0d0d",
  TEXT(G2,"0")&amp;LOWER(H2)&amp;TEXT(K2,"0")&amp;LOWER(L2)
)</f>
        <v/>
      </c>
      <c r="N2" s="9">
        <f>IF(B2="Básico",1,IF(B2="Desafio",2,IF(B2="Avançado",3)))</f>
        <v/>
      </c>
      <c r="O2" s="2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/>
      </c>
      <c r="P2" t="inlineStr">
        <is>
          <t>A04</t>
        </is>
      </c>
      <c r="Q2" t="inlineStr">
        <is>
          <t>A04O01</t>
        </is>
      </c>
      <c r="R2" t="inlineStr">
        <is>
          <t>Valorizar os verdadeiros amigos</t>
        </is>
      </c>
      <c r="S2" t="n">
        <v>0.167</v>
      </c>
    </row>
    <row r="3">
      <c r="A3" s="2" t="inlineStr">
        <is>
          <t>Amigos</t>
        </is>
      </c>
      <c r="B3" s="2" t="inlineStr">
        <is>
          <t>Básico</t>
        </is>
      </c>
      <c r="C3" s="2" t="inlineStr">
        <is>
          <t>Ouvir sem interromper quando um amigo fala.</t>
        </is>
      </c>
      <c r="D3" s="8" t="n">
        <v>4</v>
      </c>
      <c r="E3" s="8" t="n">
        <v>1</v>
      </c>
      <c r="F3" s="8" t="n">
        <v>2</v>
      </c>
      <c r="G3" s="9" t="n"/>
      <c r="H3" s="9" t="n"/>
      <c r="I3" s="9" t="n"/>
      <c r="J3" s="9" t="n"/>
      <c r="K3" s="9" t="n"/>
      <c r="L3" s="9" t="n"/>
      <c r="M3" s="9">
        <f>LEFT(A3,2)&amp;LEFT(B3,1)&amp;TEXT(F3,"000")&amp;"-"&amp;IF(
  AND(G3="",H3="",K3="",L3=""),
  "0d0d",
  TEXT(G3,"0")&amp;LOWER(H3)&amp;TEXT(K3,"0")&amp;LOWER(L3)
)</f>
        <v/>
      </c>
      <c r="N3" s="9">
        <f>IF(B3="Básico",1,IF(B3="Desafio",2,IF(B3="Avançado",3)))</f>
        <v/>
      </c>
      <c r="O3" s="2">
        <f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/>
      </c>
      <c r="P3" t="inlineStr">
        <is>
          <t>A04</t>
        </is>
      </c>
      <c r="Q3" t="inlineStr">
        <is>
          <t>A04O01</t>
        </is>
      </c>
      <c r="R3" t="inlineStr">
        <is>
          <t>Valorizar os verdadeiros amigos</t>
        </is>
      </c>
      <c r="S3" t="n">
        <v>0.143</v>
      </c>
    </row>
    <row r="4">
      <c r="A4" s="2" t="inlineStr">
        <is>
          <t>Amigos</t>
        </is>
      </c>
      <c r="B4" s="2" t="inlineStr">
        <is>
          <t>Básico</t>
        </is>
      </c>
      <c r="C4" s="2" t="inlineStr">
        <is>
          <t>Convidar alguém novo para almoçar,lazer ou estudar junto.</t>
        </is>
      </c>
      <c r="D4" s="8" t="n">
        <v>4</v>
      </c>
      <c r="E4" s="8" t="n">
        <v>1</v>
      </c>
      <c r="F4" s="8" t="n">
        <v>3</v>
      </c>
      <c r="G4" s="9" t="n"/>
      <c r="H4" s="9" t="n"/>
      <c r="I4" s="9" t="n"/>
      <c r="J4" s="9" t="n"/>
      <c r="K4" s="9" t="n"/>
      <c r="L4" s="9" t="n"/>
      <c r="M4" s="9">
        <f>LEFT(A4,2)&amp;LEFT(B4,1)&amp;TEXT(F4,"000")&amp;"-"&amp;IF(
AND(G4="",H4="",K4="",L4=""),
"0d0d",
TEXT(G4,"0")&amp;LOWER(H4)&amp;TEXT(K4,"0")&amp;LOWER(L4)
)</f>
        <v/>
      </c>
      <c r="N4" s="9">
        <f>IF(B4="Básico",1,IF(B4="Desafio",2,IF(B4="Avançado",3)))</f>
        <v/>
      </c>
      <c r="O4" s="2">
        <f>IF(
AND(G4="",H4="",I4="",J4="",K4="",L4=""),
"Fique atento para a primeira oportunidade que surgir",
IF(AND(G4=0,LOWER(H4)="d",K4=0,LOWER(L4)="d"),
"Fique atento para a primeira oportunidade que surgir",
IF(AND(G4=1,LOWER(H4)="d",K4=1,LOWER(L4)="d"),
"Pelo menos uma vez",
IF(G4=0,"O dia inteiro",IF(G4=1,"Uma vez",TEXT(G4,"0")&amp;" vezes")&amp;" por "&amp;IF(LOWER(H4)="d","dia","semana"))
&amp;IF(AND(ISNUMBER(I4),I4&gt;0),", a cada "&amp;TEXT(I4,"0")&amp;" "&amp;IF(I4=1,IF(LOWER(J4)="d","dia","semana"),IF(LOWER(J4)="d","dias","semanas"))&amp;",","")
&amp;" por um período de "&amp;TEXT(K4,"0")&amp;" "&amp;IF(K4=1,IF(LOWER(L4)="d","dia","semana"),IF(LOWER(L4)="d","dias","semanas"))
)
)
)</f>
        <v/>
      </c>
      <c r="P4" t="inlineStr">
        <is>
          <t>A04</t>
        </is>
      </c>
      <c r="Q4" t="inlineStr">
        <is>
          <t>A04O01</t>
        </is>
      </c>
      <c r="R4" t="inlineStr">
        <is>
          <t>Valorizar os verdadeiros amigos</t>
        </is>
      </c>
      <c r="S4" t="n">
        <v>0</v>
      </c>
    </row>
    <row r="5">
      <c r="A5" s="2" t="inlineStr">
        <is>
          <t>Amigos</t>
        </is>
      </c>
      <c r="B5" s="2" t="inlineStr">
        <is>
          <t>Básico</t>
        </is>
      </c>
      <c r="C5" s="2" t="inlineStr">
        <is>
          <t>Ajudar um amigo em uma tarefa difícil.</t>
        </is>
      </c>
      <c r="D5" s="8" t="n">
        <v>4</v>
      </c>
      <c r="E5" s="8" t="n">
        <v>1</v>
      </c>
      <c r="F5" s="8" t="n">
        <v>4</v>
      </c>
      <c r="G5" s="9" t="n"/>
      <c r="H5" s="9" t="n"/>
      <c r="I5" s="9" t="n"/>
      <c r="J5" s="9" t="n"/>
      <c r="K5" s="9" t="n"/>
      <c r="L5" s="9" t="n"/>
      <c r="M5" s="9">
        <f>LEFT(A5,2)&amp;LEFT(B5,1)&amp;TEXT(F5,"000")&amp;"-"&amp;IF(
AND(G5="",H5="",K5="",L5=""),
"0d0d",
TEXT(G5,"0")&amp;LOWER(H5)&amp;TEXT(K5,"0")&amp;LOWER(L5)
)</f>
        <v/>
      </c>
      <c r="N5" s="9">
        <f>IF(B5="Básico",1,IF(B5="Desafio",2,IF(B5="Avançado",3)))</f>
        <v/>
      </c>
      <c r="O5" s="2">
        <f>IF(
AND(G5="",H5="",I5="",J5="",K5="",L5=""),
"Fique atento para a primeira oportunidade que surgir",
IF(AND(G5=0,LOWER(H5)="d",K5=0,LOWER(L5)="d"),
"Fique atento para a primeira oportunidade que surgir",
IF(AND(G5=1,LOWER(H5)="d",K5=1,LOWER(L5)="d"),
"Pelo menos uma vez",
IF(G5=0,"O dia inteiro",IF(G5=1,"Uma vez",TEXT(G5,"0")&amp;" vezes")&amp;" por "&amp;IF(LOWER(H5)="d","dia","semana"))
&amp;IF(AND(ISNUMBER(I5),I5&gt;0),", a cada "&amp;TEXT(I5,"0")&amp;" "&amp;IF(I5=1,IF(LOWER(J5)="d","dia","semana"),IF(LOWER(J5)="d","dias","semanas"))&amp;",","")
&amp;" por um período de "&amp;TEXT(K5,"0")&amp;" "&amp;IF(K5=1,IF(LOWER(L5)="d","dia","semana"),IF(LOWER(L5)="d","dias","semanas"))
)
)
)</f>
        <v/>
      </c>
      <c r="P5" t="inlineStr">
        <is>
          <t>A04</t>
        </is>
      </c>
      <c r="Q5" t="inlineStr">
        <is>
          <t>A04O01</t>
        </is>
      </c>
      <c r="R5" t="inlineStr">
        <is>
          <t>Valorizar os verdadeiros amigos</t>
        </is>
      </c>
      <c r="S5" t="n">
        <v>0.167</v>
      </c>
    </row>
    <row r="6">
      <c r="A6" s="2" t="inlineStr">
        <is>
          <t>Amigos</t>
        </is>
      </c>
      <c r="B6" s="2" t="inlineStr">
        <is>
          <t>Básico</t>
        </is>
      </c>
      <c r="C6" s="2" t="inlineStr">
        <is>
          <t>Compartilhar algo que tenho (lanche, material, tempo).</t>
        </is>
      </c>
      <c r="D6" s="8" t="n">
        <v>4</v>
      </c>
      <c r="E6" s="8" t="n">
        <v>1</v>
      </c>
      <c r="F6" s="8" t="n">
        <v>5</v>
      </c>
      <c r="G6" s="9" t="n"/>
      <c r="H6" s="9" t="n"/>
      <c r="I6" s="9" t="n"/>
      <c r="J6" s="9" t="n"/>
      <c r="K6" s="9" t="n"/>
      <c r="L6" s="9" t="n"/>
      <c r="M6" s="9">
        <f>LEFT(A6,2)&amp;LEFT(B6,1)&amp;TEXT(F6,"000")&amp;"-"&amp;IF(
AND(G6="",H6="",K6="",L6=""),
"0d0d",
TEXT(G6,"0")&amp;LOWER(H6)&amp;TEXT(K6,"0")&amp;LOWER(L6)
)</f>
        <v/>
      </c>
      <c r="N6" s="9">
        <f>IF(B6="Básico",1,IF(B6="Desafio",2,IF(B6="Avançado",3)))</f>
        <v/>
      </c>
      <c r="O6" s="2">
        <f>IF(
AND(G6="",H6="",I6="",J6="",K6="",L6=""),
"Fique atento para a primeira oportunidade que surgir",
IF(AND(G6=0,LOWER(H6)="d",K6=0,LOWER(L6)="d"),
"Fique atento para a primeira oportunidade que surgir",
IF(AND(G6=1,LOWER(H6)="d",K6=1,LOWER(L6)="d"),
"Pelo menos uma vez",
IF(G6=0,"O dia inteiro",IF(G6=1,"Uma vez",TEXT(G6,"0")&amp;" vezes")&amp;" por "&amp;IF(LOWER(H6)="d","dia","semana"))
&amp;IF(AND(ISNUMBER(I6),I6&gt;0),", a cada "&amp;TEXT(I6,"0")&amp;" "&amp;IF(I6=1,IF(LOWER(J6)="d","dia","semana"),IF(LOWER(J6)="d","dias","semanas"))&amp;",","")
&amp;" por um período de "&amp;TEXT(K6,"0")&amp;" "&amp;IF(K6=1,IF(LOWER(L6)="d","dia","semana"),IF(LOWER(L6)="d","dias","semanas"))
)
)
)</f>
        <v/>
      </c>
      <c r="P6" t="inlineStr">
        <is>
          <t>A04</t>
        </is>
      </c>
      <c r="Q6" t="inlineStr">
        <is>
          <t>A04O01</t>
        </is>
      </c>
      <c r="R6" t="inlineStr">
        <is>
          <t>Valorizar os verdadeiros amigos</t>
        </is>
      </c>
      <c r="S6" t="n">
        <v>0</v>
      </c>
    </row>
    <row r="7">
      <c r="A7" s="2" t="inlineStr">
        <is>
          <t>Amigos</t>
        </is>
      </c>
      <c r="B7" s="2" t="inlineStr">
        <is>
          <t>Básico</t>
        </is>
      </c>
      <c r="C7" s="2" t="inlineStr">
        <is>
          <t>Pedir desculpa se eu magoei alguém.</t>
        </is>
      </c>
      <c r="D7" s="8" t="n">
        <v>4</v>
      </c>
      <c r="E7" s="8" t="n">
        <v>1</v>
      </c>
      <c r="F7" s="8" t="n">
        <v>6</v>
      </c>
      <c r="G7" s="9" t="n"/>
      <c r="H7" s="9" t="n"/>
      <c r="I7" s="9" t="n"/>
      <c r="J7" s="9" t="n"/>
      <c r="K7" s="9" t="n"/>
      <c r="L7" s="9" t="n"/>
      <c r="M7" s="9">
        <f>LEFT(A7,2)&amp;LEFT(B7,1)&amp;TEXT(F7,"000")&amp;"-"&amp;IF(
AND(G7="",H7="",K7="",L7=""),
"0d0d",
TEXT(G7,"0")&amp;LOWER(H7)&amp;TEXT(K7,"0")&amp;LOWER(L7)
)</f>
        <v/>
      </c>
      <c r="N7" s="9">
        <f>IF(B7="Básico",1,IF(B7="Desafio",2,IF(B7="Avançado",3)))</f>
        <v/>
      </c>
      <c r="O7" s="2">
        <f>IF(
AND(G7="",H7="",I7="",J7="",K7="",L7=""),
"Fique atento para a primeira oportunidade que surgir",
IF(AND(G7=0,LOWER(H7)="d",K7=0,LOWER(L7)="d"),
"Fique atento para a primeira oportunidade que surgir",
IF(AND(G7=1,LOWER(H7)="d",K7=1,LOWER(L7)="d"),
"Pelo menos uma vez",
IF(G7=0,"O dia inteiro",IF(G7=1,"Uma vez",TEXT(G7,"0")&amp;" vezes")&amp;" por "&amp;IF(LOWER(H7)="d","dia","semana"))
&amp;IF(AND(ISNUMBER(I7),I7&gt;0),", a cada "&amp;TEXT(I7,"0")&amp;" "&amp;IF(I7=1,IF(LOWER(J7)="d","dia","semana"),IF(LOWER(J7)="d","dias","semanas"))&amp;",","")
&amp;" por um período de "&amp;TEXT(K7,"0")&amp;" "&amp;IF(K7=1,IF(LOWER(L7)="d","dia","semana"),IF(LOWER(L7)="d","dias","semanas"))
)
)
)</f>
        <v/>
      </c>
      <c r="P7" t="inlineStr">
        <is>
          <t>A04</t>
        </is>
      </c>
      <c r="Q7" t="inlineStr">
        <is>
          <t>A04O01</t>
        </is>
      </c>
      <c r="R7" t="inlineStr">
        <is>
          <t>Valorizar os verdadeiros amigos</t>
        </is>
      </c>
      <c r="S7" t="n">
        <v>0</v>
      </c>
    </row>
    <row r="8">
      <c r="A8" s="2" t="inlineStr">
        <is>
          <t>Amigos</t>
        </is>
      </c>
      <c r="B8" s="2" t="inlineStr">
        <is>
          <t>Básico</t>
        </is>
      </c>
      <c r="C8" s="2" t="inlineStr">
        <is>
          <t>Dar uma palavra de incentivo a quem está triste.</t>
        </is>
      </c>
      <c r="D8" s="8" t="n">
        <v>4</v>
      </c>
      <c r="E8" s="8" t="n">
        <v>1</v>
      </c>
      <c r="F8" s="8" t="n">
        <v>7</v>
      </c>
      <c r="G8" s="9" t="n"/>
      <c r="H8" s="9" t="n"/>
      <c r="I8" s="9" t="n"/>
      <c r="J8" s="9" t="n"/>
      <c r="K8" s="9" t="n"/>
      <c r="L8" s="9" t="n"/>
      <c r="M8" s="9">
        <f>LEFT(A8,2)&amp;LEFT(B8,1)&amp;TEXT(F8,"000")&amp;"-"&amp;IF(
AND(G8="",H8="",K8="",L8=""),
"0d0d",
TEXT(G8,"0")&amp;LOWER(H8)&amp;TEXT(K8,"0")&amp;LOWER(L8)
)</f>
        <v/>
      </c>
      <c r="N8" s="9">
        <f>IF(B8="Básico",1,IF(B8="Desafio",2,IF(B8="Avançado",3)))</f>
        <v/>
      </c>
      <c r="O8" s="2">
        <f>IF(
AND(G8="",H8="",I8="",J8="",K8="",L8=""),
"Fique atento para a primeira oportunidade que surgir",
IF(AND(G8=0,LOWER(H8)="d",K8=0,LOWER(L8)="d"),
"Fique atento para a primeira oportunidade que surgir",
IF(AND(G8=1,LOWER(H8)="d",K8=1,LOWER(L8)="d"),
"Pelo menos uma vez",
IF(G8=0,"O dia inteiro",IF(G8=1,"Uma vez",TEXT(G8,"0")&amp;" vezes")&amp;" por "&amp;IF(LOWER(H8)="d","dia","semana"))
&amp;IF(AND(ISNUMBER(I8),I8&gt;0),", a cada "&amp;TEXT(I8,"0")&amp;" "&amp;IF(I8=1,IF(LOWER(J8)="d","dia","semana"),IF(LOWER(J8)="d","dias","semanas"))&amp;",","")
&amp;" por um período de "&amp;TEXT(K8,"0")&amp;" "&amp;IF(K8=1,IF(LOWER(L8)="d","dia","semana"),IF(LOWER(L8)="d","dias","semanas"))
)
)
)</f>
        <v/>
      </c>
      <c r="P8" t="inlineStr">
        <is>
          <t>A04</t>
        </is>
      </c>
      <c r="Q8" t="inlineStr">
        <is>
          <t>A04O03</t>
        </is>
      </c>
      <c r="R8" t="inlineStr">
        <is>
          <t>Dar bons conselhos quando for procurado</t>
        </is>
      </c>
      <c r="S8" t="n">
        <v>0.091</v>
      </c>
    </row>
    <row r="9">
      <c r="A9" s="2" t="inlineStr">
        <is>
          <t>Amigos</t>
        </is>
      </c>
      <c r="B9" s="2" t="inlineStr">
        <is>
          <t>Básico</t>
        </is>
      </c>
      <c r="C9" s="2" t="inlineStr">
        <is>
          <t>Fazer um elogio verdadeiro a um amigo.</t>
        </is>
      </c>
      <c r="D9" s="8" t="n">
        <v>4</v>
      </c>
      <c r="E9" s="8" t="n">
        <v>1</v>
      </c>
      <c r="F9" s="8" t="n">
        <v>8</v>
      </c>
      <c r="G9" s="9" t="n"/>
      <c r="H9" s="9" t="n"/>
      <c r="I9" s="9" t="n"/>
      <c r="J9" s="9" t="n"/>
      <c r="K9" s="9" t="n"/>
      <c r="L9" s="9" t="n"/>
      <c r="M9" s="9">
        <f>LEFT(A9,2)&amp;LEFT(B9,1)&amp;TEXT(F9,"000")&amp;"-"&amp;IF(
AND(G9="",H9="",K9="",L9=""),
"0d0d",
TEXT(G9,"0")&amp;LOWER(H9)&amp;TEXT(K9,"0")&amp;LOWER(L9)
)</f>
        <v/>
      </c>
      <c r="N9" s="9">
        <f>IF(B9="Básico",1,IF(B9="Desafio",2,IF(B9="Avançado",3)))</f>
        <v/>
      </c>
      <c r="O9" s="2">
        <f>IF(
AND(G9="",H9="",I9="",J9="",K9="",L9=""),
"Fique atento para a primeira oportunidade que surgir",
IF(AND(G9=0,LOWER(H9)="d",K9=0,LOWER(L9)="d"),
"Fique atento para a primeira oportunidade que surgir",
IF(AND(G9=1,LOWER(H9)="d",K9=1,LOWER(L9)="d"),
"Pelo menos uma vez",
IF(G9=0,"O dia inteiro",IF(G9=1,"Uma vez",TEXT(G9,"0")&amp;" vezes")&amp;" por "&amp;IF(LOWER(H9)="d","dia","semana"))
&amp;IF(AND(ISNUMBER(I9),I9&gt;0),", a cada "&amp;TEXT(I9,"0")&amp;" "&amp;IF(I9=1,IF(LOWER(J9)="d","dia","semana"),IF(LOWER(J9)="d","dias","semanas"))&amp;",","")
&amp;" por um período de "&amp;TEXT(K9,"0")&amp;" "&amp;IF(K9=1,IF(LOWER(L9)="d","dia","semana"),IF(LOWER(L9)="d","dias","semanas"))
)
)
)</f>
        <v/>
      </c>
      <c r="P9" t="inlineStr">
        <is>
          <t>A04</t>
        </is>
      </c>
      <c r="Q9" t="inlineStr">
        <is>
          <t>A04O01</t>
        </is>
      </c>
      <c r="R9" t="inlineStr">
        <is>
          <t>Valorizar os verdadeiros amigos</t>
        </is>
      </c>
      <c r="S9" t="n">
        <v>0.4</v>
      </c>
    </row>
    <row r="10">
      <c r="A10" s="2" t="inlineStr">
        <is>
          <t>Amigos</t>
        </is>
      </c>
      <c r="B10" s="2" t="inlineStr">
        <is>
          <t>Básico</t>
        </is>
      </c>
      <c r="C10" s="2" t="inlineStr">
        <is>
          <t>Sorrir e cumprimentar alguém que costumo ignorar.</t>
        </is>
      </c>
      <c r="D10" s="8" t="n">
        <v>4</v>
      </c>
      <c r="E10" s="8" t="n">
        <v>1</v>
      </c>
      <c r="F10" s="8" t="n">
        <v>9</v>
      </c>
      <c r="G10" s="9" t="n"/>
      <c r="H10" s="9" t="n"/>
      <c r="I10" s="9" t="n"/>
      <c r="J10" s="9" t="n"/>
      <c r="K10" s="9" t="n"/>
      <c r="L10" s="9" t="n"/>
      <c r="M10" s="9">
        <f>LEFT(A10,2)&amp;LEFT(B10,1)&amp;TEXT(F10,"000")&amp;"-"&amp;IF(
AND(G10="",H10="",K10="",L10=""),
"0d0d",
TEXT(G10,"0")&amp;LOWER(H10)&amp;TEXT(K10,"0")&amp;LOWER(L10)
)</f>
        <v/>
      </c>
      <c r="N10" s="9">
        <f>IF(B10="Básico",1,IF(B10="Desafio",2,IF(B10="Avançado",3)))</f>
        <v/>
      </c>
      <c r="O10" s="2">
        <f>IF(
AND(G10="",H10="",I10="",J10="",K10="",L10=""),
"Fique atento para a primeira oportunidade que surgir",
IF(AND(G10=0,LOWER(H10)="d",K10=0,LOWER(L10)="d"),
"Fique atento para a primeira oportunidade que surgir",
IF(AND(G10=1,LOWER(H10)="d",K10=1,LOWER(L10)="d"),
"Pelo menos uma vez",
IF(G10=0,"O dia inteiro",IF(G10=1,"Uma vez",TEXT(G10,"0")&amp;" vezes")&amp;" por "&amp;IF(LOWER(H10)="d","dia","semana"))
&amp;IF(AND(ISNUMBER(I10),I10&gt;0),", a cada "&amp;TEXT(I10,"0")&amp;" "&amp;IF(I10=1,IF(LOWER(J10)="d","dia","semana"),IF(LOWER(J10)="d","dias","semanas"))&amp;",","")
&amp;" por um período de "&amp;TEXT(K10,"0")&amp;" "&amp;IF(K10=1,IF(LOWER(L10)="d","dia","semana"),IF(LOWER(L10)="d","dias","semanas"))
)
)
)</f>
        <v/>
      </c>
      <c r="P10" t="inlineStr">
        <is>
          <t>A04</t>
        </is>
      </c>
      <c r="Q10" t="inlineStr">
        <is>
          <t>A04O01</t>
        </is>
      </c>
      <c r="R10" t="inlineStr">
        <is>
          <t>Valorizar os verdadeiros amigos</t>
        </is>
      </c>
      <c r="S10" t="n">
        <v>0</v>
      </c>
    </row>
    <row r="11">
      <c r="A11" s="2" t="inlineStr">
        <is>
          <t>Amigos</t>
        </is>
      </c>
      <c r="B11" s="2" t="inlineStr">
        <is>
          <t>Básico</t>
        </is>
      </c>
      <c r="C11" s="2" t="inlineStr">
        <is>
          <t>Estar disponível para ouvir um amigo sem pressa.</t>
        </is>
      </c>
      <c r="D11" s="8" t="n">
        <v>4</v>
      </c>
      <c r="E11" s="8" t="n">
        <v>1</v>
      </c>
      <c r="F11" s="8" t="n">
        <v>10</v>
      </c>
      <c r="G11" s="9" t="n"/>
      <c r="H11" s="9" t="n"/>
      <c r="I11" s="9" t="n"/>
      <c r="J11" s="9" t="n"/>
      <c r="K11" s="9" t="n"/>
      <c r="L11" s="9" t="n"/>
      <c r="M11" s="9">
        <f>LEFT(A11,2)&amp;LEFT(B11,1)&amp;TEXT(F11,"000")&amp;"-"&amp;IF(
AND(G11="",H11="",K11="",L11=""),
"0d0d",
TEXT(G11,"0")&amp;LOWER(H11)&amp;TEXT(K11,"0")&amp;LOWER(L11)
)</f>
        <v/>
      </c>
      <c r="N11" s="9">
        <f>IF(B11="Básico",1,IF(B11="Desafio",2,IF(B11="Avançado",3)))</f>
        <v/>
      </c>
      <c r="O11" s="2">
        <f>IF(
AND(G11="",H11="",I11="",J11="",K11="",L11=""),
"Fique atento para a primeira oportunidade que surgir",
IF(AND(G11=0,LOWER(H11)="d",K11=0,LOWER(L11)="d"),
"Fique atento para a primeira oportunidade que surgir",
IF(AND(G11=1,LOWER(H11)="d",K11=1,LOWER(L11)="d"),
"Pelo menos uma vez",
IF(G11=0,"O dia inteiro",IF(G11=1,"Uma vez",TEXT(G11,"0")&amp;" vezes")&amp;" por "&amp;IF(LOWER(H11)="d","dia","semana"))
&amp;IF(AND(ISNUMBER(I11),I11&gt;0),", a cada "&amp;TEXT(I11,"0")&amp;" "&amp;IF(I11=1,IF(LOWER(J11)="d","dia","semana"),IF(LOWER(J11)="d","dias","semanas"))&amp;",","")
&amp;" por um período de "&amp;TEXT(K11,"0")&amp;" "&amp;IF(K11=1,IF(LOWER(L11)="d","dia","semana"),IF(LOWER(L11)="d","dias","semanas"))
)
)
)</f>
        <v/>
      </c>
      <c r="P11" t="inlineStr">
        <is>
          <t>A04</t>
        </is>
      </c>
      <c r="Q11" t="inlineStr">
        <is>
          <t>A04O01</t>
        </is>
      </c>
      <c r="R11" t="inlineStr">
        <is>
          <t>Valorizar os verdadeiros amigos</t>
        </is>
      </c>
      <c r="S11" t="n">
        <v>0.143</v>
      </c>
    </row>
    <row r="12">
      <c r="A12" s="2" t="inlineStr">
        <is>
          <t>Amigos</t>
        </is>
      </c>
      <c r="B12" s="2" t="inlineStr">
        <is>
          <t>Desafio</t>
        </is>
      </c>
      <c r="C12" s="2" t="inlineStr">
        <is>
          <t>Organizar um encontro saudável sem gastos excessivos.</t>
        </is>
      </c>
      <c r="D12" s="8" t="n">
        <v>4</v>
      </c>
      <c r="E12" s="8" t="n">
        <v>2</v>
      </c>
      <c r="F12" s="8" t="n">
        <v>1</v>
      </c>
      <c r="G12" s="9" t="n"/>
      <c r="H12" s="9" t="n"/>
      <c r="I12" s="9" t="n"/>
      <c r="J12" s="9" t="n"/>
      <c r="K12" s="9" t="n"/>
      <c r="L12" s="9" t="n"/>
      <c r="M12" s="9">
        <f>LEFT(A12,2)&amp;LEFT(B12,1)&amp;TEXT(F12,"000")&amp;"-"&amp;IF(
AND(G12="",H12="",K12="",L12=""),
"0d0d",
TEXT(G12,"0")&amp;LOWER(H12)&amp;TEXT(K12,"0")&amp;LOWER(L12)
)</f>
        <v/>
      </c>
      <c r="N12" s="9">
        <f>IF(B12="Básico",1,IF(B12="Desafio",2,IF(B12="Avançado",3)))</f>
        <v/>
      </c>
      <c r="O12" s="2">
        <f>IF(
AND(G12="",H12="",I12="",J12="",K12="",L12=""),
"Fique atento para a primeira oportunidade que surgir",
IF(AND(G12=0,LOWER(H12)="d",K12=0,LOWER(L12)="d"),
"Fique atento para a primeira oportunidade que surgir",
IF(AND(G12=1,LOWER(H12)="d",K12=1,LOWER(L12)="d"),
"Pelo menos uma vez",
IF(G12=0,"O dia inteiro",IF(G12=1,"Uma vez",TEXT(G12,"0")&amp;" vezes")&amp;" por "&amp;IF(LOWER(H12)="d","dia","semana"))
&amp;IF(AND(ISNUMBER(I12),I12&gt;0),", a cada "&amp;TEXT(I12,"0")&amp;" "&amp;IF(I12=1,IF(LOWER(J12)="d","dia","semana"),IF(LOWER(J12)="d","dias","semanas"))&amp;",","")
&amp;" por um período de "&amp;TEXT(K12,"0")&amp;" "&amp;IF(K12=1,IF(LOWER(L12)="d","dia","semana"),IF(LOWER(L12)="d","dias","semanas"))
)
)
)</f>
        <v/>
      </c>
      <c r="P12" t="inlineStr">
        <is>
          <t>A04</t>
        </is>
      </c>
      <c r="Q12" t="inlineStr">
        <is>
          <t>A04O01</t>
        </is>
      </c>
      <c r="R12" t="inlineStr">
        <is>
          <t>Valorizar os verdadeiros amigos</t>
        </is>
      </c>
      <c r="S12" t="n">
        <v>0</v>
      </c>
    </row>
    <row r="13">
      <c r="A13" s="2" t="inlineStr">
        <is>
          <t>Amigos</t>
        </is>
      </c>
      <c r="B13" s="2" t="inlineStr">
        <is>
          <t>Desafio</t>
        </is>
      </c>
      <c r="C13" s="2" t="inlineStr">
        <is>
          <t>Estar atento para evitar fofocas quando se trata de conversas a respeito de outra pessoa</t>
        </is>
      </c>
      <c r="D13" s="8" t="n">
        <v>4</v>
      </c>
      <c r="E13" s="8" t="n">
        <v>2</v>
      </c>
      <c r="F13" s="8" t="n">
        <v>2</v>
      </c>
      <c r="G13" s="9" t="n">
        <v>0</v>
      </c>
      <c r="H13" s="9" t="inlineStr">
        <is>
          <t>d</t>
        </is>
      </c>
      <c r="I13" s="9" t="n"/>
      <c r="J13" s="9" t="n"/>
      <c r="K13" s="9" t="n">
        <v>7</v>
      </c>
      <c r="L13" s="9" t="inlineStr">
        <is>
          <t>d</t>
        </is>
      </c>
      <c r="M13" s="9">
        <f>LEFT(A13,2)&amp;LEFT(B13,1)&amp;TEXT(F13,"000")&amp;"-"&amp;IF(
AND(G13="",H13="",K13="",L13=""),
"0d0d",
TEXT(G13,"0")&amp;LOWER(H13)&amp;TEXT(K13,"0")&amp;LOWER(L13)
)</f>
        <v/>
      </c>
      <c r="N13" s="9">
        <f>IF(B13="Básico",1,IF(B13="Desafio",2,IF(B13="Avançado",3)))</f>
        <v/>
      </c>
      <c r="O13" s="2">
        <f>IF(
AND(G13="",H13="",I13="",J13="",K13="",L13=""),
"Fique atento para a primeira oportunidade que surgir",
IF(AND(G13=0,LOWER(H13)="d",K13=0,LOWER(L13)="d"),
"Fique atento para a primeira oportunidade que surgir",
IF(AND(G13=1,LOWER(H13)="d",K13=1,LOWER(L13)="d"),
"Pelo menos uma vez",
IF(G13=0,"O dia inteiro",IF(G13=1,"Uma vez",TEXT(G13,"0")&amp;" vezes")&amp;" por "&amp;IF(LOWER(H13)="d","dia","semana"))
&amp;IF(AND(ISNUMBER(I13),I13&gt;0),", a cada "&amp;TEXT(I13,"0")&amp;" "&amp;IF(I13=1,IF(LOWER(J13)="d","dia","semana"),IF(LOWER(J13)="d","dias","semanas"))&amp;",","")
&amp;" por um período de "&amp;TEXT(K13,"0")&amp;" "&amp;IF(K13=1,IF(LOWER(L13)="d","dia","semana"),IF(LOWER(L13)="d","dias","semanas"))
)
)
)</f>
        <v/>
      </c>
      <c r="P13" t="inlineStr">
        <is>
          <t>A04</t>
        </is>
      </c>
      <c r="Q13" t="inlineStr">
        <is>
          <t>A04O05</t>
        </is>
      </c>
      <c r="R13" t="inlineStr">
        <is>
          <t>Evitar fofocas e julgamentos</t>
        </is>
      </c>
      <c r="S13" t="n">
        <v>0.182</v>
      </c>
    </row>
    <row r="14">
      <c r="A14" s="2" t="inlineStr">
        <is>
          <t>Amigos</t>
        </is>
      </c>
      <c r="B14" s="2" t="inlineStr">
        <is>
          <t>Desafio</t>
        </is>
      </c>
      <c r="C14" s="2" t="inlineStr">
        <is>
          <t>Apoiar um amigo em um objetivo pessoal com check-ins.</t>
        </is>
      </c>
      <c r="D14" s="8" t="n">
        <v>4</v>
      </c>
      <c r="E14" s="8" t="n">
        <v>2</v>
      </c>
      <c r="F14" s="8" t="n">
        <v>3</v>
      </c>
      <c r="G14" s="9" t="n"/>
      <c r="H14" s="9" t="n"/>
      <c r="I14" s="9" t="n"/>
      <c r="J14" s="9" t="n"/>
      <c r="K14" s="9" t="n"/>
      <c r="L14" s="9" t="n"/>
      <c r="M14" s="9">
        <f>LEFT(A14,2)&amp;LEFT(B14,1)&amp;TEXT(F14,"000")&amp;"-"&amp;IF(
AND(G14="",H14="",K14="",L14=""),
"0d0d",
TEXT(G14,"0")&amp;LOWER(H14)&amp;TEXT(K14,"0")&amp;LOWER(L14)
)</f>
        <v/>
      </c>
      <c r="N14" s="9">
        <f>IF(B14="Básico",1,IF(B14="Desafio",2,IF(B14="Avançado",3)))</f>
        <v/>
      </c>
      <c r="O14" s="2">
        <f>IF(
AND(G14="",H14="",I14="",J14="",K14="",L14=""),
"Fique atento para a primeira oportunidade que surgir",
IF(AND(G14=0,LOWER(H14)="d",K14=0,LOWER(L14)="d"),
"Fique atento para a primeira oportunidade que surgir",
IF(AND(G14=1,LOWER(H14)="d",K14=1,LOWER(L14)="d"),
"Pelo menos uma vez",
IF(G14=0,"O dia inteiro",IF(G14=1,"Uma vez",TEXT(G14,"0")&amp;" vezes")&amp;" por "&amp;IF(LOWER(H14)="d","dia","semana"))
&amp;IF(AND(ISNUMBER(I14),I14&gt;0),", a cada "&amp;TEXT(I14,"0")&amp;" "&amp;IF(I14=1,IF(LOWER(J14)="d","dia","semana"),IF(LOWER(J14)="d","dias","semanas"))&amp;",","")
&amp;" por um período de "&amp;TEXT(K14,"0")&amp;" "&amp;IF(K14=1,IF(LOWER(L14)="d","dia","semana"),IF(LOWER(L14)="d","dias","semanas"))
)
)
)</f>
        <v/>
      </c>
      <c r="P14" t="inlineStr">
        <is>
          <t>A04</t>
        </is>
      </c>
      <c r="Q14" t="inlineStr">
        <is>
          <t>A04O01</t>
        </is>
      </c>
      <c r="R14" t="inlineStr">
        <is>
          <t>Valorizar os verdadeiros amigos</t>
        </is>
      </c>
      <c r="S14" t="n">
        <v>0.125</v>
      </c>
    </row>
    <row r="15">
      <c r="A15" s="2" t="inlineStr">
        <is>
          <t>Amigos</t>
        </is>
      </c>
      <c r="B15" s="2" t="inlineStr">
        <is>
          <t>Desafio</t>
        </is>
      </c>
      <c r="C15" s="2" t="inlineStr">
        <is>
          <t>Criar um pequeno grupo para leitura/estudo conjunto.</t>
        </is>
      </c>
      <c r="D15" s="8" t="n">
        <v>4</v>
      </c>
      <c r="E15" s="8" t="n">
        <v>2</v>
      </c>
      <c r="F15" s="8" t="n">
        <v>4</v>
      </c>
      <c r="G15" s="9" t="n"/>
      <c r="H15" s="9" t="n"/>
      <c r="I15" s="9" t="n"/>
      <c r="J15" s="9" t="n"/>
      <c r="K15" s="9" t="n"/>
      <c r="L15" s="9" t="n"/>
      <c r="M15" s="9">
        <f>LEFT(A15,2)&amp;LEFT(B15,1)&amp;TEXT(F15,"000")&amp;"-"&amp;IF(
AND(G15="",H15="",K15="",L15=""),
"0d0d",
TEXT(G15,"0")&amp;LOWER(H15)&amp;TEXT(K15,"0")&amp;LOWER(L15)
)</f>
        <v/>
      </c>
      <c r="N15" s="9">
        <f>IF(B15="Básico",1,IF(B15="Desafio",2,IF(B15="Avançado",3)))</f>
        <v/>
      </c>
      <c r="O15" s="2">
        <f>IF(
AND(G15="",H15="",I15="",J15="",K15="",L15=""),
"Fique atento para a primeira oportunidade que surgir",
IF(AND(G15=0,LOWER(H15)="d",K15=0,LOWER(L15)="d"),
"Fique atento para a primeira oportunidade que surgir",
IF(AND(G15=1,LOWER(H15)="d",K15=1,LOWER(L15)="d"),
"Pelo menos uma vez",
IF(G15=0,"O dia inteiro",IF(G15=1,"Uma vez",TEXT(G15,"0")&amp;" vezes")&amp;" por "&amp;IF(LOWER(H15)="d","dia","semana"))
&amp;IF(AND(ISNUMBER(I15),I15&gt;0),", a cada "&amp;TEXT(I15,"0")&amp;" "&amp;IF(I15=1,IF(LOWER(J15)="d","dia","semana"),IF(LOWER(J15)="d","dias","semanas"))&amp;",","")
&amp;" por um período de "&amp;TEXT(K15,"0")&amp;" "&amp;IF(K15=1,IF(LOWER(L15)="d","dia","semana"),IF(LOWER(L15)="d","dias","semanas"))
)
)
)</f>
        <v/>
      </c>
      <c r="P15" t="inlineStr">
        <is>
          <t>A04</t>
        </is>
      </c>
      <c r="Q15" t="inlineStr">
        <is>
          <t>A04O01</t>
        </is>
      </c>
      <c r="R15" t="inlineStr">
        <is>
          <t>Valorizar os verdadeiros amigos</t>
        </is>
      </c>
      <c r="S15" t="n">
        <v>0</v>
      </c>
    </row>
    <row r="16">
      <c r="A16" s="2" t="inlineStr">
        <is>
          <t>Amigos</t>
        </is>
      </c>
      <c r="B16" s="2" t="inlineStr">
        <is>
          <t>Desafio</t>
        </is>
      </c>
      <c r="C16" s="2" t="inlineStr">
        <is>
          <t>Planejar e cumprir um dia sem redes sociais com um amigo.</t>
        </is>
      </c>
      <c r="D16" s="8" t="n">
        <v>4</v>
      </c>
      <c r="E16" s="8" t="n">
        <v>2</v>
      </c>
      <c r="F16" s="8" t="n">
        <v>5</v>
      </c>
      <c r="G16" s="9" t="n">
        <v>0</v>
      </c>
      <c r="H16" s="9" t="inlineStr">
        <is>
          <t>d</t>
        </is>
      </c>
      <c r="I16" s="9" t="n"/>
      <c r="J16" s="9" t="n"/>
      <c r="K16" s="9" t="n">
        <v>1</v>
      </c>
      <c r="L16" s="9" t="inlineStr">
        <is>
          <t>d</t>
        </is>
      </c>
      <c r="M16" s="9">
        <f>LEFT(A16,2)&amp;LEFT(B16,1)&amp;TEXT(F16,"000")&amp;"-"&amp;IF(
AND(G16="",H16="",K16="",L16=""),
"0d0d",
TEXT(G16,"0")&amp;LOWER(H16)&amp;TEXT(K16,"0")&amp;LOWER(L16)
)</f>
        <v/>
      </c>
      <c r="N16" s="9">
        <f>IF(B16="Básico",1,IF(B16="Desafio",2,IF(B16="Avançado",3)))</f>
        <v/>
      </c>
      <c r="O16" s="2">
        <f>IF(
AND(G16="",H16="",I16="",J16="",K16="",L16=""),
"Fique atento para a primeira oportunidade que surgir",
IF(AND(G16=0,LOWER(H16)="d",K16=0,LOWER(L16)="d"),
"Fique atento para a primeira oportunidade que surgir",
IF(AND(G16=1,LOWER(H16)="d",K16=1,LOWER(L16)="d"),
"Pelo menos uma vez",
IF(G16=0,"O dia inteiro",IF(G16=1,"Uma vez",TEXT(G16,"0")&amp;" vezes")&amp;" por "&amp;IF(LOWER(H16)="d","dia","semana"))
&amp;IF(AND(ISNUMBER(I16),I16&gt;0),", a cada "&amp;TEXT(I16,"0")&amp;" "&amp;IF(I16=1,IF(LOWER(J16)="d","dia","semana"),IF(LOWER(J16)="d","dias","semanas"))&amp;",","")
&amp;" por um período de "&amp;TEXT(K16,"0")&amp;" "&amp;IF(K16=1,IF(LOWER(L16)="d","dia","semana"),IF(LOWER(L16)="d","dias","semanas"))
)
)
)</f>
        <v/>
      </c>
      <c r="P16" t="inlineStr">
        <is>
          <t>A04</t>
        </is>
      </c>
      <c r="Q16" t="inlineStr">
        <is>
          <t>A04O01</t>
        </is>
      </c>
      <c r="R16" t="inlineStr">
        <is>
          <t>Valorizar os verdadeiros amigos</t>
        </is>
      </c>
      <c r="S16" t="n">
        <v>0.125</v>
      </c>
    </row>
    <row r="17">
      <c r="A17" s="2" t="inlineStr">
        <is>
          <t>Amigos</t>
        </is>
      </c>
      <c r="B17" s="2" t="inlineStr">
        <is>
          <t>Desafio</t>
        </is>
      </c>
      <c r="C17" s="2" t="inlineStr">
        <is>
          <t>Ensinar uma habilidade que eu domino a um amigo.</t>
        </is>
      </c>
      <c r="D17" s="8" t="n">
        <v>4</v>
      </c>
      <c r="E17" s="8" t="n">
        <v>2</v>
      </c>
      <c r="F17" s="8" t="n">
        <v>6</v>
      </c>
      <c r="G17" s="9" t="n">
        <v>1</v>
      </c>
      <c r="H17" s="9" t="inlineStr">
        <is>
          <t>d</t>
        </is>
      </c>
      <c r="I17" s="9" t="n"/>
      <c r="J17" s="9" t="n"/>
      <c r="K17" s="9" t="n">
        <v>1</v>
      </c>
      <c r="L17" s="9" t="inlineStr">
        <is>
          <t>d</t>
        </is>
      </c>
      <c r="M17" s="9">
        <f>LEFT(A17,2)&amp;LEFT(B17,1)&amp;TEXT(F17,"000")&amp;"-"&amp;IF(
AND(G17="",H17="",K17="",L17=""),
"0d0d",
TEXT(G17,"0")&amp;LOWER(H17)&amp;TEXT(K17,"0")&amp;LOWER(L17)
)</f>
        <v/>
      </c>
      <c r="N17" s="9">
        <f>IF(B17="Básico",1,IF(B17="Desafio",2,IF(B17="Avançado",3)))</f>
        <v/>
      </c>
      <c r="O17" s="2">
        <f>IF(
AND(G17="",H17="",I17="",J17="",K17="",L17=""),
"Fique atento para a primeira oportunidade que surgir",
IF(AND(G17=0,LOWER(H17)="d",K17=0,LOWER(L17)="d"),
"Fique atento para a primeira oportunidade que surgir",
IF(AND(G17=1,LOWER(H17)="d",K17=1,LOWER(L17)="d"),
"Pelo menos uma vez",
IF(G17=0,"O dia inteiro",IF(G17=1,"Uma vez",TEXT(G17,"0")&amp;" vezes")&amp;" por "&amp;IF(LOWER(H17)="d","dia","semana"))
&amp;IF(AND(ISNUMBER(I17),I17&gt;0),", a cada "&amp;TEXT(I17,"0")&amp;" "&amp;IF(I17=1,IF(LOWER(J17)="d","dia","semana"),IF(LOWER(J17)="d","dias","semanas"))&amp;",","")
&amp;" por um período de "&amp;TEXT(K17,"0")&amp;" "&amp;IF(K17=1,IF(LOWER(L17)="d","dia","semana"),IF(LOWER(L17)="d","dias","semanas"))
)
)
)</f>
        <v/>
      </c>
      <c r="P17" t="inlineStr">
        <is>
          <t>A04</t>
        </is>
      </c>
      <c r="Q17" t="inlineStr">
        <is>
          <t>A04O01</t>
        </is>
      </c>
      <c r="R17" t="inlineStr">
        <is>
          <t>Valorizar os verdadeiros amigos</t>
        </is>
      </c>
      <c r="S17" t="n">
        <v>0.167</v>
      </c>
    </row>
    <row r="18">
      <c r="A18" s="2" t="inlineStr">
        <is>
          <t>Amigos</t>
        </is>
      </c>
      <c r="B18" s="2" t="inlineStr">
        <is>
          <t>Desafio</t>
        </is>
      </c>
      <c r="C18" s="2" t="inlineStr">
        <is>
          <t>Iniciar uma conversa difícil com empatia e respeito.</t>
        </is>
      </c>
      <c r="D18" s="8" t="n">
        <v>4</v>
      </c>
      <c r="E18" s="8" t="n">
        <v>2</v>
      </c>
      <c r="F18" s="8" t="n">
        <v>7</v>
      </c>
      <c r="G18" s="9" t="n">
        <v>1</v>
      </c>
      <c r="H18" s="9" t="inlineStr">
        <is>
          <t>d</t>
        </is>
      </c>
      <c r="I18" s="9" t="n"/>
      <c r="J18" s="9" t="n"/>
      <c r="K18" s="9" t="n">
        <v>1</v>
      </c>
      <c r="L18" s="9" t="inlineStr">
        <is>
          <t>d</t>
        </is>
      </c>
      <c r="M18" s="9">
        <f>LEFT(A18,2)&amp;LEFT(B18,1)&amp;TEXT(F18,"000")&amp;"-"&amp;IF(
AND(G18="",H18="",K18="",L18=""),
"0d0d",
TEXT(G18,"0")&amp;LOWER(H18)&amp;TEXT(K18,"0")&amp;LOWER(L18)
)</f>
        <v/>
      </c>
      <c r="N18" s="9">
        <f>IF(B18="Básico",1,IF(B18="Desafio",2,IF(B18="Avançado",3)))</f>
        <v/>
      </c>
      <c r="O18" s="2">
        <f>IF(
AND(G18="",H18="",I18="",J18="",K18="",L18=""),
"Fique atento para a primeira oportunidade que surgir",
IF(AND(G18=0,LOWER(H18)="d",K18=0,LOWER(L18)="d"),
"Fique atento para a primeira oportunidade que surgir",
IF(AND(G18=1,LOWER(H18)="d",K18=1,LOWER(L18)="d"),
"Pelo menos uma vez",
IF(G18=0,"O dia inteiro",IF(G18=1,"Uma vez",TEXT(G18,"0")&amp;" vezes")&amp;" por "&amp;IF(LOWER(H18)="d","dia","semana"))
&amp;IF(AND(ISNUMBER(I18),I18&gt;0),", a cada "&amp;TEXT(I18,"0")&amp;" "&amp;IF(I18=1,IF(LOWER(J18)="d","dia","semana"),IF(LOWER(J18)="d","dias","semanas"))&amp;",","")
&amp;" por um período de "&amp;TEXT(K18,"0")&amp;" "&amp;IF(K18=1,IF(LOWER(L18)="d","dia","semana"),IF(LOWER(L18)="d","dias","semanas"))
)
)
)</f>
        <v/>
      </c>
      <c r="P18" t="inlineStr">
        <is>
          <t>A04</t>
        </is>
      </c>
      <c r="Q18" t="inlineStr">
        <is>
          <t>A04O01</t>
        </is>
      </c>
      <c r="R18" t="inlineStr">
        <is>
          <t>Valorizar os verdadeiros amigos</t>
        </is>
      </c>
      <c r="S18" t="n">
        <v>0</v>
      </c>
    </row>
    <row r="19">
      <c r="A19" s="2" t="inlineStr">
        <is>
          <t>Amigos</t>
        </is>
      </c>
      <c r="B19" s="2" t="inlineStr">
        <is>
          <t>Desafio</t>
        </is>
      </c>
      <c r="C19" s="2" t="inlineStr">
        <is>
          <t>Escrever um bilhete ou e-mail de apreciação sincera.</t>
        </is>
      </c>
      <c r="D19" s="8" t="n">
        <v>4</v>
      </c>
      <c r="E19" s="8" t="n">
        <v>2</v>
      </c>
      <c r="F19" s="8" t="n">
        <v>8</v>
      </c>
      <c r="G19" s="9" t="n">
        <v>1</v>
      </c>
      <c r="H19" s="9" t="inlineStr">
        <is>
          <t>d</t>
        </is>
      </c>
      <c r="I19" s="9" t="n"/>
      <c r="J19" s="9" t="n"/>
      <c r="K19" s="9" t="n">
        <v>1</v>
      </c>
      <c r="L19" s="9" t="inlineStr">
        <is>
          <t>d</t>
        </is>
      </c>
      <c r="M19" s="9">
        <f>LEFT(A19,2)&amp;LEFT(B19,1)&amp;TEXT(F19,"000")&amp;"-"&amp;IF(
AND(G19="",H19="",K19="",L19=""),
"0d0d",
TEXT(G19,"0")&amp;LOWER(H19)&amp;TEXT(K19,"0")&amp;LOWER(L19)
)</f>
        <v/>
      </c>
      <c r="N19" s="9">
        <f>IF(B19="Básico",1,IF(B19="Desafio",2,IF(B19="Avançado",3)))</f>
        <v/>
      </c>
      <c r="O19" s="2">
        <f>IF(
AND(G19="",H19="",I19="",J19="",K19="",L19=""),
"Fique atento para a primeira oportunidade que surgir",
IF(AND(G19=0,LOWER(H19)="d",K19=0,LOWER(L19)="d"),
"Fique atento para a primeira oportunidade que surgir",
IF(AND(G19=1,LOWER(H19)="d",K19=1,LOWER(L19)="d"),
"Pelo menos uma vez",
IF(G19=0,"O dia inteiro",IF(G19=1,"Uma vez",TEXT(G19,"0")&amp;" vezes")&amp;" por "&amp;IF(LOWER(H19)="d","dia","semana"))
&amp;IF(AND(ISNUMBER(I19),I19&gt;0),", a cada "&amp;TEXT(I19,"0")&amp;" "&amp;IF(I19=1,IF(LOWER(J19)="d","dia","semana"),IF(LOWER(J19)="d","dias","semanas"))&amp;",","")
&amp;" por um período de "&amp;TEXT(K19,"0")&amp;" "&amp;IF(K19=1,IF(LOWER(L19)="d","dia","semana"),IF(LOWER(L19)="d","dias","semanas"))
)
)
)</f>
        <v/>
      </c>
      <c r="P19" t="inlineStr">
        <is>
          <t>A04</t>
        </is>
      </c>
      <c r="Q19" t="inlineStr">
        <is>
          <t>A04O01</t>
        </is>
      </c>
      <c r="R19" t="inlineStr">
        <is>
          <t>Valorizar os verdadeiros amigos</t>
        </is>
      </c>
      <c r="S19" t="n">
        <v>0</v>
      </c>
    </row>
    <row r="20">
      <c r="A20" s="2" t="inlineStr">
        <is>
          <t>Amigos</t>
        </is>
      </c>
      <c r="B20" s="2" t="inlineStr">
        <is>
          <t>Desafio</t>
        </is>
      </c>
      <c r="C20" s="2" t="inlineStr">
        <is>
          <t>Acompanhar um amigo a uma consulta/compromisso.</t>
        </is>
      </c>
      <c r="D20" s="8" t="n">
        <v>4</v>
      </c>
      <c r="E20" s="8" t="n">
        <v>2</v>
      </c>
      <c r="F20" s="8" t="n">
        <v>9</v>
      </c>
      <c r="G20" s="9" t="n">
        <v>1</v>
      </c>
      <c r="H20" s="9" t="inlineStr">
        <is>
          <t>d</t>
        </is>
      </c>
      <c r="I20" s="9" t="n"/>
      <c r="J20" s="9" t="n"/>
      <c r="K20" s="9" t="n">
        <v>1</v>
      </c>
      <c r="L20" s="9" t="inlineStr">
        <is>
          <t>d</t>
        </is>
      </c>
      <c r="M20" s="9">
        <f>LEFT(A20,2)&amp;LEFT(B20,1)&amp;TEXT(F20,"000")&amp;"-"&amp;IF(
AND(G20="",H20="",K20="",L20=""),
"0d0d",
TEXT(G20,"0")&amp;LOWER(H20)&amp;TEXT(K20,"0")&amp;LOWER(L20)
)</f>
        <v/>
      </c>
      <c r="N20" s="9">
        <f>IF(B20="Básico",1,IF(B20="Desafio",2,IF(B20="Avançado",3)))</f>
        <v/>
      </c>
      <c r="O20" s="2">
        <f>IF(
AND(G20="",H20="",I20="",J20="",K20="",L20=""),
"Fique atento para a primeira oportunidade que surgir",
IF(AND(G20=0,LOWER(H20)="d",K20=0,LOWER(L20)="d"),
"Fique atento para a primeira oportunidade que surgir",
IF(AND(G20=1,LOWER(H20)="d",K20=1,LOWER(L20)="d"),
"Pelo menos uma vez",
IF(G20=0,"O dia inteiro",IF(G20=1,"Uma vez",TEXT(G20,"0")&amp;" vezes")&amp;" por "&amp;IF(LOWER(H20)="d","dia","semana"))
&amp;IF(AND(ISNUMBER(I20),I20&gt;0),", a cada "&amp;TEXT(I20,"0")&amp;" "&amp;IF(I20=1,IF(LOWER(J20)="d","dia","semana"),IF(LOWER(J20)="d","dias","semanas"))&amp;",","")
&amp;" por um período de "&amp;TEXT(K20,"0")&amp;" "&amp;IF(K20=1,IF(LOWER(L20)="d","dia","semana"),IF(LOWER(L20)="d","dias","semanas"))
)
)
)</f>
        <v/>
      </c>
      <c r="P20" t="inlineStr">
        <is>
          <t>A04</t>
        </is>
      </c>
      <c r="Q20" t="inlineStr">
        <is>
          <t>A04O01</t>
        </is>
      </c>
      <c r="R20" t="inlineStr">
        <is>
          <t>Valorizar os verdadeiros amigos</t>
        </is>
      </c>
      <c r="S20" t="n">
        <v>0.167</v>
      </c>
    </row>
    <row r="21">
      <c r="A21" s="2" t="inlineStr">
        <is>
          <t>Amigos</t>
        </is>
      </c>
      <c r="B21" s="2" t="inlineStr">
        <is>
          <t>Desafio</t>
        </is>
      </c>
      <c r="C21" s="2" t="inlineStr">
        <is>
          <t>Oferecer carona compartilhada ou dividir custos.</t>
        </is>
      </c>
      <c r="D21" s="8" t="n">
        <v>4</v>
      </c>
      <c r="E21" s="8" t="n">
        <v>2</v>
      </c>
      <c r="F21" s="8" t="n">
        <v>10</v>
      </c>
      <c r="G21" s="9" t="n">
        <v>1</v>
      </c>
      <c r="H21" s="9" t="inlineStr">
        <is>
          <t>d</t>
        </is>
      </c>
      <c r="I21" s="9" t="n"/>
      <c r="J21" s="9" t="n"/>
      <c r="K21" s="9" t="n">
        <v>1</v>
      </c>
      <c r="L21" s="9" t="inlineStr">
        <is>
          <t>d</t>
        </is>
      </c>
      <c r="M21" s="9">
        <f>LEFT(A21,2)&amp;LEFT(B21,1)&amp;TEXT(F21,"000")&amp;"-"&amp;IF(
AND(G21="",H21="",K21="",L21=""),
"0d0d",
TEXT(G21,"0")&amp;LOWER(H21)&amp;TEXT(K21,"0")&amp;LOWER(L21)
)</f>
        <v/>
      </c>
      <c r="N21" s="9">
        <f>IF(B21="Básico",1,IF(B21="Desafio",2,IF(B21="Avançado",3)))</f>
        <v/>
      </c>
      <c r="O21" s="2">
        <f>IF(
AND(G21="",H21="",I21="",J21="",K21="",L21=""),
"Fique atento para a primeira oportunidade que surgir",
IF(AND(G21=0,LOWER(H21)="d",K21=0,LOWER(L21)="d"),
"Fique atento para a primeira oportunidade que surgir",
IF(AND(G21=1,LOWER(H21)="d",K21=1,LOWER(L21)="d"),
"Pelo menos uma vez",
IF(G21=0,"O dia inteiro",IF(G21=1,"Uma vez",TEXT(G21,"0")&amp;" vezes")&amp;" por "&amp;IF(LOWER(H21)="d","dia","semana"))
&amp;IF(AND(ISNUMBER(I21),I21&gt;0),", a cada "&amp;TEXT(I21,"0")&amp;" "&amp;IF(I21=1,IF(LOWER(J21)="d","dia","semana"),IF(LOWER(J21)="d","dias","semanas"))&amp;",","")
&amp;" por um período de "&amp;TEXT(K21,"0")&amp;" "&amp;IF(K21=1,IF(LOWER(L21)="d","dia","semana"),IF(LOWER(L21)="d","dias","semanas"))
)
)
)</f>
        <v/>
      </c>
      <c r="P21" t="inlineStr">
        <is>
          <t>A04</t>
        </is>
      </c>
      <c r="Q21" t="inlineStr">
        <is>
          <t>A04O01</t>
        </is>
      </c>
      <c r="R21" t="inlineStr">
        <is>
          <t>Valorizar os verdadeiros amigos</t>
        </is>
      </c>
      <c r="S21" t="n">
        <v>0</v>
      </c>
    </row>
    <row r="22">
      <c r="A22" s="2" t="inlineStr">
        <is>
          <t>Amigos</t>
        </is>
      </c>
      <c r="B22" s="2" t="inlineStr">
        <is>
          <t>Desafio</t>
        </is>
      </c>
      <c r="C22" s="2" t="inlineStr">
        <is>
          <t>Organizar fotos/momentos e compartilhar um álbum.</t>
        </is>
      </c>
      <c r="D22" s="8" t="n">
        <v>4</v>
      </c>
      <c r="E22" s="8" t="n">
        <v>2</v>
      </c>
      <c r="F22" s="8" t="n">
        <v>11</v>
      </c>
      <c r="G22" s="9" t="n">
        <v>1</v>
      </c>
      <c r="H22" s="9" t="inlineStr">
        <is>
          <t>d</t>
        </is>
      </c>
      <c r="I22" s="9" t="n"/>
      <c r="J22" s="9" t="n"/>
      <c r="K22" s="9" t="n">
        <v>1</v>
      </c>
      <c r="L22" s="9" t="inlineStr">
        <is>
          <t>d</t>
        </is>
      </c>
      <c r="M22" s="9">
        <f>LEFT(A22,2)&amp;LEFT(B22,1)&amp;TEXT(F22,"000")&amp;"-"&amp;IF(
AND(G22="",H22="",K22="",L22=""),
"0d0d",
TEXT(G22,"0")&amp;LOWER(H22)&amp;TEXT(K22,"0")&amp;LOWER(L22)
)</f>
        <v/>
      </c>
      <c r="N22" s="9">
        <f>IF(B22="Básico",1,IF(B22="Desafio",2,IF(B22="Avançado",3)))</f>
        <v/>
      </c>
      <c r="O22" s="2">
        <f>IF(
AND(G22="",H22="",I22="",J22="",K22="",L22=""),
"Fique atento para a primeira oportunidade que surgir",
IF(AND(G22=0,LOWER(H22)="d",K22=0,LOWER(L22)="d"),
"Fique atento para a primeira oportunidade que surgir",
IF(AND(G22=1,LOWER(H22)="d",K22=1,LOWER(L22)="d"),
"Pelo menos uma vez",
IF(G22=0,"O dia inteiro",IF(G22=1,"Uma vez",TEXT(G22,"0")&amp;" vezes")&amp;" por "&amp;IF(LOWER(H22)="d","dia","semana"))
&amp;IF(AND(ISNUMBER(I22),I22&gt;0),", a cada "&amp;TEXT(I22,"0")&amp;" "&amp;IF(I22=1,IF(LOWER(J22)="d","dia","semana"),IF(LOWER(J22)="d","dias","semanas"))&amp;",","")
&amp;" por um período de "&amp;TEXT(K22,"0")&amp;" "&amp;IF(K22=1,IF(LOWER(L22)="d","dia","semana"),IF(LOWER(L22)="d","dias","semanas"))
)
)
)</f>
        <v/>
      </c>
      <c r="P22" t="inlineStr">
        <is>
          <t>A04</t>
        </is>
      </c>
      <c r="Q22" t="inlineStr">
        <is>
          <t>A04O02</t>
        </is>
      </c>
      <c r="R22" t="inlineStr">
        <is>
          <t>Ser mais presente nos momentos difíceis</t>
        </is>
      </c>
      <c r="S22" t="n">
        <v>0.125</v>
      </c>
    </row>
    <row r="23">
      <c r="A23" s="2" t="inlineStr">
        <is>
          <t>Amigos</t>
        </is>
      </c>
      <c r="B23" s="2" t="inlineStr">
        <is>
          <t>Desafio</t>
        </is>
      </c>
      <c r="C23" s="2" t="inlineStr">
        <is>
          <t>Praticar escuta ativa e refletir o que o outro disse.</t>
        </is>
      </c>
      <c r="D23" s="8" t="n">
        <v>4</v>
      </c>
      <c r="E23" s="8" t="n">
        <v>2</v>
      </c>
      <c r="F23" s="8" t="n">
        <v>12</v>
      </c>
      <c r="G23" s="9" t="n">
        <v>1</v>
      </c>
      <c r="H23" s="9" t="inlineStr">
        <is>
          <t>d</t>
        </is>
      </c>
      <c r="I23" s="9" t="n"/>
      <c r="J23" s="9" t="n"/>
      <c r="K23" s="9" t="n">
        <v>1</v>
      </c>
      <c r="L23" s="9" t="inlineStr">
        <is>
          <t>d</t>
        </is>
      </c>
      <c r="M23" s="9">
        <f>LEFT(A23,2)&amp;LEFT(B23,1)&amp;TEXT(F23,"000")&amp;"-"&amp;IF(
AND(G23="",H23="",K23="",L23=""),
"0d0d",
TEXT(G23,"0")&amp;LOWER(H23)&amp;TEXT(K23,"0")&amp;LOWER(L23)
)</f>
        <v/>
      </c>
      <c r="N23" s="9">
        <f>IF(B23="Básico",1,IF(B23="Desafio",2,IF(B23="Avançado",3)))</f>
        <v/>
      </c>
      <c r="O23" s="2">
        <f>IF(
AND(G23="",H23="",I23="",J23="",K23="",L23=""),
"Fique atento para a primeira oportunidade que surgir",
IF(AND(G23=0,LOWER(H23)="d",K23=0,LOWER(L23)="d"),
"Fique atento para a primeira oportunidade que surgir",
IF(AND(G23=1,LOWER(H23)="d",K23=1,LOWER(L23)="d"),
"Pelo menos uma vez",
IF(G23=0,"O dia inteiro",IF(G23=1,"Uma vez",TEXT(G23,"0")&amp;" vezes")&amp;" por "&amp;IF(LOWER(H23)="d","dia","semana"))
&amp;IF(AND(ISNUMBER(I23),I23&gt;0),", a cada "&amp;TEXT(I23,"0")&amp;" "&amp;IF(I23=1,IF(LOWER(J23)="d","dia","semana"),IF(LOWER(J23)="d","dias","semanas"))&amp;",","")
&amp;" por um período de "&amp;TEXT(K23,"0")&amp;" "&amp;IF(K23=1,IF(LOWER(L23)="d","dia","semana"),IF(LOWER(L23)="d","dias","semanas"))
)
)
)</f>
        <v/>
      </c>
      <c r="P23" t="inlineStr">
        <is>
          <t>A04</t>
        </is>
      </c>
      <c r="Q23" t="inlineStr">
        <is>
          <t>A04O01</t>
        </is>
      </c>
      <c r="R23" t="inlineStr">
        <is>
          <t>Valorizar os verdadeiros amigos</t>
        </is>
      </c>
      <c r="S23" t="n">
        <v>0</v>
      </c>
    </row>
    <row r="24">
      <c r="A24" s="2" t="inlineStr">
        <is>
          <t>Amigos</t>
        </is>
      </c>
      <c r="B24" s="2" t="inlineStr">
        <is>
          <t>Avançado</t>
        </is>
      </c>
      <c r="C24" s="2" t="inlineStr">
        <is>
          <t>Coordenar grupo de responsabilidade mútua com metas semanais.</t>
        </is>
      </c>
      <c r="D24" s="8" t="n">
        <v>4</v>
      </c>
      <c r="E24" s="8" t="n">
        <v>3</v>
      </c>
      <c r="F24" s="8" t="n">
        <v>1</v>
      </c>
      <c r="G24" s="9" t="n">
        <v>1</v>
      </c>
      <c r="H24" s="9" t="inlineStr">
        <is>
          <t>d</t>
        </is>
      </c>
      <c r="I24" s="9" t="n">
        <v>7</v>
      </c>
      <c r="J24" s="9" t="inlineStr">
        <is>
          <t>d</t>
        </is>
      </c>
      <c r="K24" s="9" t="n">
        <v>60</v>
      </c>
      <c r="L24" s="9" t="inlineStr">
        <is>
          <t>d</t>
        </is>
      </c>
      <c r="M24" s="9">
        <f>LEFT(A24,2)&amp;LEFT(B24,1)&amp;TEXT(F24,"000")&amp;"-"&amp;IF(
AND(G24="",H24="",K24="",L24=""),
"0d0d",
TEXT(G24,"0")&amp;LOWER(H24)&amp;TEXT(K24,"0")&amp;LOWER(L24)
)</f>
        <v/>
      </c>
      <c r="N24" s="9">
        <f>IF(B24="Básico",1,IF(B24="Desafio",2,IF(B24="Avançado",3)))</f>
        <v/>
      </c>
      <c r="O24" s="2">
        <f>IF(
AND(G24="",H24="",I24="",J24="",K24="",L24=""),
"Fique atento para a primeira oportunidade que surgir",
IF(AND(G24=0,LOWER(H24)="d",K24=0,LOWER(L24)="d"),
"Fique atento para a primeira oportunidade que surgir",
IF(AND(G24=1,LOWER(H24)="d",K24=1,LOWER(L24)="d"),
"Pelo menos uma vez",
IF(G24=0,"O dia inteiro",IF(G24=1,"Uma vez",TEXT(G24,"0")&amp;" vezes")&amp;" por "&amp;IF(LOWER(H24)="d","dia","semana"))
&amp;IF(AND(ISNUMBER(I24),I24&gt;0),", a cada "&amp;TEXT(I24,"0")&amp;" "&amp;IF(I24=1,IF(LOWER(J24)="d","dia","semana"),IF(LOWER(J24)="d","dias","semanas"))&amp;",","")
&amp;" por um período de "&amp;TEXT(K24,"0")&amp;" "&amp;IF(K24=1,IF(LOWER(L24)="d","dia","semana"),IF(LOWER(L24)="d","dias","semanas"))
)
)
)</f>
        <v/>
      </c>
      <c r="P24" t="inlineStr">
        <is>
          <t>A04</t>
        </is>
      </c>
      <c r="Q24" t="inlineStr">
        <is>
          <t>A04O01</t>
        </is>
      </c>
      <c r="R24" t="inlineStr">
        <is>
          <t>Valorizar os verdadeiros amigos</t>
        </is>
      </c>
      <c r="S24" t="n">
        <v>0</v>
      </c>
    </row>
    <row r="25">
      <c r="A25" s="2" t="inlineStr">
        <is>
          <t>Amigos</t>
        </is>
      </c>
      <c r="B25" s="2" t="inlineStr">
        <is>
          <t>Avançado</t>
        </is>
      </c>
      <c r="C25" s="2" t="inlineStr">
        <is>
          <t>Conduzir reconciliação entre dois amigos com neutralidade.</t>
        </is>
      </c>
      <c r="D25" s="8" t="n">
        <v>4</v>
      </c>
      <c r="E25" s="8" t="n">
        <v>3</v>
      </c>
      <c r="F25" s="8" t="n">
        <v>2</v>
      </c>
      <c r="G25" s="9" t="n">
        <v>1</v>
      </c>
      <c r="H25" s="9" t="inlineStr">
        <is>
          <t>d</t>
        </is>
      </c>
      <c r="I25" s="9" t="n"/>
      <c r="J25" s="9" t="n"/>
      <c r="K25" s="9" t="n">
        <v>1</v>
      </c>
      <c r="L25" s="9" t="inlineStr">
        <is>
          <t>d</t>
        </is>
      </c>
      <c r="M25" s="9">
        <f>LEFT(A25,2)&amp;LEFT(B25,1)&amp;TEXT(F25,"000")&amp;"-"&amp;IF(
AND(G25="",H25="",K25="",L25=""),
"0d0d",
TEXT(G25,"0")&amp;LOWER(H25)&amp;TEXT(K25,"0")&amp;LOWER(L25)
)</f>
        <v/>
      </c>
      <c r="N25" s="9">
        <f>IF(B25="Básico",1,IF(B25="Desafio",2,IF(B25="Avançado",3)))</f>
        <v/>
      </c>
      <c r="O25" s="2">
        <f>IF(
AND(G25="",H25="",I25="",J25="",K25="",L25=""),
"Fique atento para a primeira oportunidade que surgir",
IF(AND(G25=0,LOWER(H25)="d",K25=0,LOWER(L25)="d"),
"Fique atento para a primeira oportunidade que surgir",
IF(AND(G25=1,LOWER(H25)="d",K25=1,LOWER(L25)="d"),
"Pelo menos uma vez",
IF(G25=0,"O dia inteiro",IF(G25=1,"Uma vez",TEXT(G25,"0")&amp;" vezes")&amp;" por "&amp;IF(LOWER(H25)="d","dia","semana"))
&amp;IF(AND(ISNUMBER(I25),I25&gt;0),", a cada "&amp;TEXT(I25,"0")&amp;" "&amp;IF(I25=1,IF(LOWER(J25)="d","dia","semana"),IF(LOWER(J25)="d","dias","semanas"))&amp;",","")
&amp;" por um período de "&amp;TEXT(K25,"0")&amp;" "&amp;IF(K25=1,IF(LOWER(L25)="d","dia","semana"),IF(LOWER(L25)="d","dias","semanas"))
)
)
)</f>
        <v/>
      </c>
      <c r="P25" t="inlineStr">
        <is>
          <t>A04</t>
        </is>
      </c>
      <c r="Q25" t="inlineStr">
        <is>
          <t>A04O01</t>
        </is>
      </c>
      <c r="R25" t="inlineStr">
        <is>
          <t>Valorizar os verdadeiros amigos</t>
        </is>
      </c>
      <c r="S25" t="n">
        <v>0.143</v>
      </c>
    </row>
    <row r="26">
      <c r="A26" s="2" t="inlineStr">
        <is>
          <t>Amigos</t>
        </is>
      </c>
      <c r="B26" s="2" t="inlineStr">
        <is>
          <t>Avançado</t>
        </is>
      </c>
      <c r="C26" s="2" t="inlineStr">
        <is>
          <t>Planejar viagem/saída com orçamento e segurança.</t>
        </is>
      </c>
      <c r="D26" s="8" t="n">
        <v>4</v>
      </c>
      <c r="E26" s="8" t="n">
        <v>3</v>
      </c>
      <c r="F26" s="8" t="n">
        <v>3</v>
      </c>
      <c r="G26" s="9" t="n">
        <v>1</v>
      </c>
      <c r="H26" s="9" t="inlineStr">
        <is>
          <t>d</t>
        </is>
      </c>
      <c r="I26" s="9" t="n"/>
      <c r="J26" s="9" t="n"/>
      <c r="K26" s="9" t="n">
        <v>1</v>
      </c>
      <c r="L26" s="9" t="inlineStr">
        <is>
          <t>d</t>
        </is>
      </c>
      <c r="M26" s="9">
        <f>LEFT(A26,2)&amp;LEFT(B26,1)&amp;TEXT(F26,"000")&amp;"-"&amp;IF(
AND(G26="",H26="",K26="",L26=""),
"0d0d",
TEXT(G26,"0")&amp;LOWER(H26)&amp;TEXT(K26,"0")&amp;LOWER(L26)
)</f>
        <v/>
      </c>
      <c r="N26" s="9">
        <f>IF(B26="Básico",1,IF(B26="Desafio",2,IF(B26="Avançado",3)))</f>
        <v/>
      </c>
      <c r="O26" s="2">
        <f>IF(
AND(G26="",H26="",I26="",J26="",K26="",L26=""),
"Fique atento para a primeira oportunidade que surgir",
IF(AND(G26=0,LOWER(H26)="d",K26=0,LOWER(L26)="d"),
"Fique atento para a primeira oportunidade que surgir",
IF(AND(G26=1,LOWER(H26)="d",K26=1,LOWER(L26)="d"),
"Pelo menos uma vez",
IF(G26=0,"O dia inteiro",IF(G26=1,"Uma vez",TEXT(G26,"0")&amp;" vezes")&amp;" por "&amp;IF(LOWER(H26)="d","dia","semana"))
&amp;IF(AND(ISNUMBER(I26),I26&gt;0),", a cada "&amp;TEXT(I26,"0")&amp;" "&amp;IF(I26=1,IF(LOWER(J26)="d","dia","semana"),IF(LOWER(J26)="d","dias","semanas"))&amp;",","")
&amp;" por um período de "&amp;TEXT(K26,"0")&amp;" "&amp;IF(K26=1,IF(LOWER(L26)="d","dia","semana"),IF(LOWER(L26)="d","dias","semanas"))
)
)
)</f>
        <v/>
      </c>
      <c r="P26" t="inlineStr">
        <is>
          <t>A04</t>
        </is>
      </c>
      <c r="Q26" t="inlineStr">
        <is>
          <t>A04O01</t>
        </is>
      </c>
      <c r="R26" t="inlineStr">
        <is>
          <t>Valorizar os verdadeiros amigos</t>
        </is>
      </c>
      <c r="S26" t="n">
        <v>0</v>
      </c>
    </row>
    <row r="27">
      <c r="A27" s="2" t="inlineStr">
        <is>
          <t>Amigos</t>
        </is>
      </c>
      <c r="B27" s="2" t="inlineStr">
        <is>
          <t>Avançado</t>
        </is>
      </c>
      <c r="C27" s="2" t="inlineStr">
        <is>
          <t>Apoiar amigo em mudança/necessidade logística complexa.</t>
        </is>
      </c>
      <c r="D27" s="8" t="n">
        <v>4</v>
      </c>
      <c r="E27" s="8" t="n">
        <v>3</v>
      </c>
      <c r="F27" s="8" t="n">
        <v>4</v>
      </c>
      <c r="G27" s="9" t="n">
        <v>1</v>
      </c>
      <c r="H27" s="9" t="inlineStr">
        <is>
          <t>d</t>
        </is>
      </c>
      <c r="I27" s="9" t="n"/>
      <c r="J27" s="9" t="n"/>
      <c r="K27" s="9" t="n">
        <v>1</v>
      </c>
      <c r="L27" s="9" t="inlineStr">
        <is>
          <t>d</t>
        </is>
      </c>
      <c r="M27" s="9">
        <f>LEFT(A27,2)&amp;LEFT(B27,1)&amp;TEXT(F27,"000")&amp;"-"&amp;IF(
AND(G27="",H27="",K27="",L27=""),
"0d0d",
TEXT(G27,"0")&amp;LOWER(H27)&amp;TEXT(K27,"0")&amp;LOWER(L27)
)</f>
        <v/>
      </c>
      <c r="N27" s="9">
        <f>IF(B27="Básico",1,IF(B27="Desafio",2,IF(B27="Avançado",3)))</f>
        <v/>
      </c>
      <c r="O27" s="2">
        <f>IF(
AND(G27="",H27="",I27="",J27="",K27="",L27=""),
"Fique atento para a primeira oportunidade que surgir",
IF(AND(G27=0,LOWER(H27)="d",K27=0,LOWER(L27)="d"),
"Fique atento para a primeira oportunidade que surgir",
IF(AND(G27=1,LOWER(H27)="d",K27=1,LOWER(L27)="d"),
"Pelo menos uma vez",
IF(G27=0,"O dia inteiro",IF(G27=1,"Uma vez",TEXT(G27,"0")&amp;" vezes")&amp;" por "&amp;IF(LOWER(H27)="d","dia","semana"))
&amp;IF(AND(ISNUMBER(I27),I27&gt;0),", a cada "&amp;TEXT(I27,"0")&amp;" "&amp;IF(I27=1,IF(LOWER(J27)="d","dia","semana"),IF(LOWER(J27)="d","dias","semanas"))&amp;",","")
&amp;" por um período de "&amp;TEXT(K27,"0")&amp;" "&amp;IF(K27=1,IF(LOWER(L27)="d","dia","semana"),IF(LOWER(L27)="d","dias","semanas"))
)
)
)</f>
        <v/>
      </c>
      <c r="P27" t="inlineStr">
        <is>
          <t>A04</t>
        </is>
      </c>
      <c r="Q27" t="inlineStr">
        <is>
          <t>A04O01</t>
        </is>
      </c>
      <c r="R27" t="inlineStr">
        <is>
          <t>Valorizar os verdadeiros amigos</t>
        </is>
      </c>
      <c r="S27" t="n">
        <v>0.125</v>
      </c>
    </row>
    <row r="28">
      <c r="A28" s="2" t="inlineStr">
        <is>
          <t>Amigos</t>
        </is>
      </c>
      <c r="B28" s="2" t="inlineStr">
        <is>
          <t>Avançado</t>
        </is>
      </c>
      <c r="C28" s="2" t="inlineStr">
        <is>
          <t>Criar tradição positiva semanal com amigos (sem telas).</t>
        </is>
      </c>
      <c r="D28" s="8" t="n">
        <v>4</v>
      </c>
      <c r="E28" s="8" t="n">
        <v>3</v>
      </c>
      <c r="F28" s="8" t="n">
        <v>5</v>
      </c>
      <c r="G28" s="9" t="n">
        <v>1</v>
      </c>
      <c r="H28" s="9" t="inlineStr">
        <is>
          <t>d</t>
        </is>
      </c>
      <c r="I28" s="9" t="n">
        <v>7</v>
      </c>
      <c r="J28" s="9" t="inlineStr">
        <is>
          <t>d</t>
        </is>
      </c>
      <c r="K28" s="9" t="n">
        <v>30</v>
      </c>
      <c r="L28" s="9" t="inlineStr">
        <is>
          <t>d</t>
        </is>
      </c>
      <c r="M28" s="9">
        <f>LEFT(A28,2)&amp;LEFT(B28,1)&amp;TEXT(F28,"000")&amp;"-"&amp;IF(
AND(G28="",H28="",K28="",L28=""),
"0d0d",
TEXT(G28,"0")&amp;LOWER(H28)&amp;TEXT(K28,"0")&amp;LOWER(L28)
)</f>
        <v/>
      </c>
      <c r="N28" s="9">
        <f>IF(B28="Básico",1,IF(B28="Desafio",2,IF(B28="Avançado",3)))</f>
        <v/>
      </c>
      <c r="O28" s="2">
        <f>IF(
AND(G28="",H28="",I28="",J28="",K28="",L28=""),
"Fique atento para a primeira oportunidade que surgir",
IF(AND(G28=0,LOWER(H28)="d",K28=0,LOWER(L28)="d"),
"Fique atento para a primeira oportunidade que surgir",
IF(AND(G28=1,LOWER(H28)="d",K28=1,LOWER(L28)="d"),
"Pelo menos uma vez",
IF(G28=0,"O dia inteiro",IF(G28=1,"Uma vez",TEXT(G28,"0")&amp;" vezes")&amp;" por "&amp;IF(LOWER(H28)="d","dia","semana"))
&amp;IF(AND(ISNUMBER(I28),I28&gt;0),", a cada "&amp;TEXT(I28,"0")&amp;" "&amp;IF(I28=1,IF(LOWER(J28)="d","dia","semana"),IF(LOWER(J28)="d","dias","semanas"))&amp;",","")
&amp;" por um período de "&amp;TEXT(K28,"0")&amp;" "&amp;IF(K28=1,IF(LOWER(L28)="d","dia","semana"),IF(LOWER(L28)="d","dias","semanas"))
)
)
)</f>
        <v/>
      </c>
      <c r="P28" t="inlineStr">
        <is>
          <t>A04</t>
        </is>
      </c>
      <c r="Q28" t="inlineStr">
        <is>
          <t>A04O01</t>
        </is>
      </c>
      <c r="R28" t="inlineStr">
        <is>
          <t>Valorizar os verdadeiros amigos</t>
        </is>
      </c>
      <c r="S28" t="n">
        <v>0.125</v>
      </c>
    </row>
    <row r="29">
      <c r="A29" s="2" t="inlineStr">
        <is>
          <t>Amigos</t>
        </is>
      </c>
      <c r="B29" s="2" t="inlineStr">
        <is>
          <t>Avançado</t>
        </is>
      </c>
      <c r="C29" s="2" t="inlineStr">
        <is>
          <t>Realizar projeto de serviço com amigos na comunidade.</t>
        </is>
      </c>
      <c r="D29" s="8" t="n">
        <v>4</v>
      </c>
      <c r="E29" s="8" t="n">
        <v>3</v>
      </c>
      <c r="F29" s="8" t="n">
        <v>6</v>
      </c>
      <c r="G29" s="9" t="n">
        <v>1</v>
      </c>
      <c r="H29" s="9" t="inlineStr">
        <is>
          <t>d</t>
        </is>
      </c>
      <c r="I29" s="9" t="n"/>
      <c r="J29" s="9" t="n"/>
      <c r="K29" s="9" t="n">
        <v>21</v>
      </c>
      <c r="L29" s="9" t="inlineStr">
        <is>
          <t>d</t>
        </is>
      </c>
      <c r="M29" s="9">
        <f>LEFT(A29,2)&amp;LEFT(B29,1)&amp;TEXT(F29,"000")&amp;"-"&amp;IF(
AND(G29="",H29="",K29="",L29=""),
"0d0d",
TEXT(G29,"0")&amp;LOWER(H29)&amp;TEXT(K29,"0")&amp;LOWER(L29)
)</f>
        <v/>
      </c>
      <c r="N29" s="9">
        <f>IF(B29="Básico",1,IF(B29="Desafio",2,IF(B29="Avançado",3)))</f>
        <v/>
      </c>
      <c r="O29" s="2">
        <f>IF(
AND(G29="",H29="",I29="",J29="",K29="",L29=""),
"Fique atento para a primeira oportunidade que surgir",
IF(AND(G29=0,LOWER(H29)="d",K29=0,LOWER(L29)="d"),
"Fique atento para a primeira oportunidade que surgir",
IF(AND(G29=1,LOWER(H29)="d",K29=1,LOWER(L29)="d"),
"Pelo menos uma vez",
IF(G29=0,"O dia inteiro",IF(G29=1,"Uma vez",TEXT(G29,"0")&amp;" vezes")&amp;" por "&amp;IF(LOWER(H29)="d","dia","semana"))
&amp;IF(AND(ISNUMBER(I29),I29&gt;0),", a cada "&amp;TEXT(I29,"0")&amp;" "&amp;IF(I29=1,IF(LOWER(J29)="d","dia","semana"),IF(LOWER(J29)="d","dias","semanas"))&amp;",","")
&amp;" por um período de "&amp;TEXT(K29,"0")&amp;" "&amp;IF(K29=1,IF(LOWER(L29)="d","dia","semana"),IF(LOWER(L29)="d","dias","semanas"))
)
)
)</f>
        <v/>
      </c>
      <c r="P29" t="inlineStr">
        <is>
          <t>A04</t>
        </is>
      </c>
      <c r="Q29" t="inlineStr">
        <is>
          <t>A04O01</t>
        </is>
      </c>
      <c r="R29" t="inlineStr">
        <is>
          <t>Valorizar os verdadeiros amigos</t>
        </is>
      </c>
      <c r="S29" t="n">
        <v>0.143</v>
      </c>
    </row>
    <row r="30">
      <c r="A30" s="2" t="inlineStr">
        <is>
          <t>Amigos</t>
        </is>
      </c>
      <c r="B30" s="2" t="inlineStr">
        <is>
          <t>Avançado</t>
        </is>
      </c>
      <c r="C30" s="2" t="inlineStr">
        <is>
          <t>Construir pactos de comunicação não-violenta no grupo.</t>
        </is>
      </c>
      <c r="D30" s="8" t="n">
        <v>4</v>
      </c>
      <c r="E30" s="8" t="n">
        <v>3</v>
      </c>
      <c r="F30" s="8" t="n">
        <v>7</v>
      </c>
      <c r="G30" s="9" t="n">
        <v>1</v>
      </c>
      <c r="H30" s="9" t="inlineStr">
        <is>
          <t>d</t>
        </is>
      </c>
      <c r="I30" s="9" t="n"/>
      <c r="J30" s="9" t="n"/>
      <c r="K30" s="9" t="n">
        <v>1</v>
      </c>
      <c r="L30" s="9" t="inlineStr">
        <is>
          <t>d</t>
        </is>
      </c>
      <c r="M30" s="9">
        <f>LEFT(A30,2)&amp;LEFT(B30,1)&amp;TEXT(F30,"000")&amp;"-"&amp;IF(
AND(G30="",H30="",K30="",L30=""),
"0d0d",
TEXT(G30,"0")&amp;LOWER(H30)&amp;TEXT(K30,"0")&amp;LOWER(L30)
)</f>
        <v/>
      </c>
      <c r="N30" s="9">
        <f>IF(B30="Básico",1,IF(B30="Desafio",2,IF(B30="Avançado",3)))</f>
        <v/>
      </c>
      <c r="O30" s="2">
        <f>IF(
AND(G30="",H30="",I30="",J30="",K30="",L30=""),
"Fique atento para a primeira oportunidade que surgir",
IF(AND(G30=0,LOWER(H30)="d",K30=0,LOWER(L30)="d"),
"Fique atento para a primeira oportunidade que surgir",
IF(AND(G30=1,LOWER(H30)="d",K30=1,LOWER(L30)="d"),
"Pelo menos uma vez",
IF(G30=0,"O dia inteiro",IF(G30=1,"Uma vez",TEXT(G30,"0")&amp;" vezes")&amp;" por "&amp;IF(LOWER(H30)="d","dia","semana"))
&amp;IF(AND(ISNUMBER(I30),I30&gt;0),", a cada "&amp;TEXT(I30,"0")&amp;" "&amp;IF(I30=1,IF(LOWER(J30)="d","dia","semana"),IF(LOWER(J30)="d","dias","semanas"))&amp;",","")
&amp;" por um período de "&amp;TEXT(K30,"0")&amp;" "&amp;IF(K30=1,IF(LOWER(L30)="d","dia","semana"),IF(LOWER(L30)="d","dias","semanas"))
)
)
)</f>
        <v/>
      </c>
      <c r="P30" t="inlineStr">
        <is>
          <t>A04</t>
        </is>
      </c>
      <c r="Q30" t="inlineStr">
        <is>
          <t>A04O01</t>
        </is>
      </c>
      <c r="R30" t="inlineStr">
        <is>
          <t>Valorizar os verdadeiros amigos</t>
        </is>
      </c>
      <c r="S30" t="n">
        <v>0</v>
      </c>
    </row>
    <row r="31">
      <c r="A31" s="2" t="inlineStr">
        <is>
          <t>Amigos</t>
        </is>
      </c>
      <c r="B31" s="2" t="inlineStr">
        <is>
          <t>Avançado</t>
        </is>
      </c>
      <c r="C31" s="2" t="inlineStr">
        <is>
          <t>Mentorear um amigo mais novo por 3 semanas.</t>
        </is>
      </c>
      <c r="D31" s="8" t="n">
        <v>4</v>
      </c>
      <c r="E31" s="8" t="n">
        <v>3</v>
      </c>
      <c r="F31" s="8" t="n">
        <v>8</v>
      </c>
      <c r="G31" s="9" t="n">
        <v>1</v>
      </c>
      <c r="H31" s="9" t="inlineStr">
        <is>
          <t>d</t>
        </is>
      </c>
      <c r="I31" s="9" t="n">
        <v>7</v>
      </c>
      <c r="J31" s="9" t="inlineStr">
        <is>
          <t>d</t>
        </is>
      </c>
      <c r="K31" s="9" t="n">
        <v>21</v>
      </c>
      <c r="L31" s="9" t="inlineStr">
        <is>
          <t>d</t>
        </is>
      </c>
      <c r="M31" s="9">
        <f>LEFT(A31,2)&amp;LEFT(B31,1)&amp;TEXT(F31,"000")&amp;"-"&amp;IF(
AND(G31="",H31="",K31="",L31=""),
"0d0d",
TEXT(G31,"0")&amp;LOWER(H31)&amp;TEXT(K31,"0")&amp;LOWER(L31)
)</f>
        <v/>
      </c>
      <c r="N31" s="9">
        <f>IF(B31="Básico",1,IF(B31="Desafio",2,IF(B31="Avançado",3)))</f>
        <v/>
      </c>
      <c r="O31" s="2">
        <f>IF(
AND(G31="",H31="",I31="",J31="",K31="",L31=""),
"Fique atento para a primeira oportunidade que surgir",
IF(AND(G31=0,LOWER(H31)="d",K31=0,LOWER(L31)="d"),
"Fique atento para a primeira oportunidade que surgir",
IF(AND(G31=1,LOWER(H31)="d",K31=1,LOWER(L31)="d"),
"Pelo menos uma vez",
IF(G31=0,"O dia inteiro",IF(G31=1,"Uma vez",TEXT(G31,"0")&amp;" vezes")&amp;" por "&amp;IF(LOWER(H31)="d","dia","semana"))
&amp;IF(AND(ISNUMBER(I31),I31&gt;0),", a cada "&amp;TEXT(I31,"0")&amp;" "&amp;IF(I31=1,IF(LOWER(J31)="d","dia","semana"),IF(LOWER(J31)="d","dias","semanas"))&amp;",","")
&amp;" por um período de "&amp;TEXT(K31,"0")&amp;" "&amp;IF(K31=1,IF(LOWER(L31)="d","dia","semana"),IF(LOWER(L31)="d","dias","semanas"))
)
)
)</f>
        <v/>
      </c>
      <c r="P31" t="inlineStr">
        <is>
          <t>A04</t>
        </is>
      </c>
      <c r="Q31" t="inlineStr">
        <is>
          <t>A04O01</t>
        </is>
      </c>
      <c r="R31" t="inlineStr">
        <is>
          <t>Valorizar os verdadeiros amigos</t>
        </is>
      </c>
      <c r="S31" t="n">
        <v>0.167</v>
      </c>
    </row>
    <row r="32">
      <c r="A32" s="2" t="inlineStr">
        <is>
          <t>Amigos</t>
        </is>
      </c>
      <c r="B32" s="2" t="inlineStr">
        <is>
          <t>Avançado</t>
        </is>
      </c>
      <c r="C32" s="2" t="inlineStr">
        <is>
          <t>Organizar campanha de arrecadação entre amigos.</t>
        </is>
      </c>
      <c r="D32" s="8" t="n">
        <v>4</v>
      </c>
      <c r="E32" s="8" t="n">
        <v>3</v>
      </c>
      <c r="F32" s="8" t="n">
        <v>9</v>
      </c>
      <c r="G32" s="9" t="n">
        <v>1</v>
      </c>
      <c r="H32" s="9" t="inlineStr">
        <is>
          <t>d</t>
        </is>
      </c>
      <c r="I32" s="9" t="n"/>
      <c r="J32" s="9" t="n"/>
      <c r="K32" s="9" t="n">
        <v>1</v>
      </c>
      <c r="L32" s="9" t="inlineStr">
        <is>
          <t>d</t>
        </is>
      </c>
      <c r="M32" s="9">
        <f>LEFT(A32,2)&amp;LEFT(B32,1)&amp;TEXT(F32,"000")&amp;"-"&amp;IF(
AND(G32="",H32="",K32="",L32=""),
"0d0d",
TEXT(G32,"0")&amp;LOWER(H32)&amp;TEXT(K32,"0")&amp;LOWER(L32)
)</f>
        <v/>
      </c>
      <c r="N32" s="9">
        <f>IF(B32="Básico",1,IF(B32="Desafio",2,IF(B32="Avançado",3)))</f>
        <v/>
      </c>
      <c r="O32" s="2">
        <f>IF(
AND(G32="",H32="",I32="",J32="",K32="",L32=""),
"Fique atento para a primeira oportunidade que surgir",
IF(AND(G32=0,LOWER(H32)="d",K32=0,LOWER(L32)="d"),
"Fique atento para a primeira oportunidade que surgir",
IF(AND(G32=1,LOWER(H32)="d",K32=1,LOWER(L32)="d"),
"Pelo menos uma vez",
IF(G32=0,"O dia inteiro",IF(G32=1,"Uma vez",TEXT(G32,"0")&amp;" vezes")&amp;" por "&amp;IF(LOWER(H32)="d","dia","semana"))
&amp;IF(AND(ISNUMBER(I32),I32&gt;0),", a cada "&amp;TEXT(I32,"0")&amp;" "&amp;IF(I32=1,IF(LOWER(J32)="d","dia","semana"),IF(LOWER(J32)="d","dias","semanas"))&amp;",","")
&amp;" por um período de "&amp;TEXT(K32,"0")&amp;" "&amp;IF(K32=1,IF(LOWER(L32)="d","dia","semana"),IF(LOWER(L32)="d","dias","semanas"))
)
)
)</f>
        <v/>
      </c>
      <c r="P32" t="inlineStr">
        <is>
          <t>A04</t>
        </is>
      </c>
      <c r="Q32" t="inlineStr">
        <is>
          <t>A04O01</t>
        </is>
      </c>
      <c r="R32" t="inlineStr">
        <is>
          <t>Valorizar os verdadeiros amigos</t>
        </is>
      </c>
      <c r="S32" t="n">
        <v>0.167</v>
      </c>
    </row>
    <row r="33">
      <c r="A33" s="2" t="inlineStr">
        <is>
          <t>Amigos</t>
        </is>
      </c>
      <c r="B33" s="2" t="inlineStr">
        <is>
          <t>Avançado</t>
        </is>
      </c>
      <c r="C33" s="2" t="inlineStr">
        <is>
          <t>Produzir conteúdo colaborativo (vídeo, blog, podcast) edificante.</t>
        </is>
      </c>
      <c r="D33" s="8" t="n">
        <v>4</v>
      </c>
      <c r="E33" s="8" t="n">
        <v>3</v>
      </c>
      <c r="F33" s="8" t="n">
        <v>10</v>
      </c>
      <c r="G33" s="9" t="n">
        <v>1</v>
      </c>
      <c r="H33" s="9" t="inlineStr">
        <is>
          <t>d</t>
        </is>
      </c>
      <c r="I33" s="9" t="n"/>
      <c r="J33" s="9" t="n"/>
      <c r="K33" s="9" t="n">
        <v>1</v>
      </c>
      <c r="L33" s="9" t="inlineStr">
        <is>
          <t>d</t>
        </is>
      </c>
      <c r="M33" s="9">
        <f>LEFT(A33,2)&amp;LEFT(B33,1)&amp;TEXT(F33,"000")&amp;"-"&amp;IF(
AND(G33="",H33="",K33="",L33=""),
"0d0d",
TEXT(G33,"0")&amp;LOWER(H33)&amp;TEXT(K33,"0")&amp;LOWER(L33)
)</f>
        <v/>
      </c>
      <c r="N33" s="9">
        <f>IF(B33="Básico",1,IF(B33="Desafio",2,IF(B33="Avançado",3)))</f>
        <v/>
      </c>
      <c r="O33" s="2">
        <f>IF(
AND(G33="",H33="",I33="",J33="",K33="",L33=""),
"Fique atento para a primeira oportunidade que surgir",
IF(AND(G33=0,LOWER(H33)="d",K33=0,LOWER(L33)="d"),
"Fique atento para a primeira oportunidade que surgir",
IF(AND(G33=1,LOWER(H33)="d",K33=1,LOWER(L33)="d"),
"Pelo menos uma vez",
IF(G33=0,"O dia inteiro",IF(G33=1,"Uma vez",TEXT(G33,"0")&amp;" vezes")&amp;" por "&amp;IF(LOWER(H33)="d","dia","semana"))
&amp;IF(AND(ISNUMBER(I33),I33&gt;0),", a cada "&amp;TEXT(I33,"0")&amp;" "&amp;IF(I33=1,IF(LOWER(J33)="d","dia","semana"),IF(LOWER(J33)="d","dias","semanas"))&amp;",","")
&amp;" por um período de "&amp;TEXT(K33,"0")&amp;" "&amp;IF(K33=1,IF(LOWER(L33)="d","dia","semana"),IF(LOWER(L33)="d","dias","semanas"))
)
)
)</f>
        <v/>
      </c>
      <c r="P33" t="inlineStr">
        <is>
          <t>A04</t>
        </is>
      </c>
      <c r="Q33" t="inlineStr">
        <is>
          <t>A04O01</t>
        </is>
      </c>
      <c r="R33" t="inlineStr">
        <is>
          <t>Valorizar os verdadeiros amigos</t>
        </is>
      </c>
      <c r="S33" t="n">
        <v>0</v>
      </c>
    </row>
    <row r="34">
      <c r="A34" s="2" t="inlineStr">
        <is>
          <t>Amigos</t>
        </is>
      </c>
      <c r="B34" s="2" t="inlineStr">
        <is>
          <t>Avançado</t>
        </is>
      </c>
      <c r="C34" s="2" t="inlineStr">
        <is>
          <t>Criar e manter calendário de aniversários com ações concretas.</t>
        </is>
      </c>
      <c r="D34" s="8" t="n">
        <v>4</v>
      </c>
      <c r="E34" s="8" t="n">
        <v>3</v>
      </c>
      <c r="F34" s="8" t="n">
        <v>11</v>
      </c>
      <c r="G34" s="9" t="n">
        <v>1</v>
      </c>
      <c r="H34" s="9" t="inlineStr">
        <is>
          <t>d</t>
        </is>
      </c>
      <c r="I34" s="9" t="n"/>
      <c r="J34" s="9" t="n"/>
      <c r="K34" s="9" t="n">
        <v>1</v>
      </c>
      <c r="L34" s="9" t="inlineStr">
        <is>
          <t>d</t>
        </is>
      </c>
      <c r="M34" s="9">
        <f>LEFT(A34,2)&amp;LEFT(B34,1)&amp;TEXT(F34,"000")&amp;"-"&amp;IF(
AND(G34="",H34="",K34="",L34=""),
"0d0d",
TEXT(G34,"0")&amp;LOWER(H34)&amp;TEXT(K34,"0")&amp;LOWER(L34)
)</f>
        <v/>
      </c>
      <c r="N34" s="9">
        <f>IF(B34="Básico",1,IF(B34="Desafio",2,IF(B34="Avançado",3)))</f>
        <v/>
      </c>
      <c r="O34" s="2">
        <f>IF(
AND(G34="",H34="",I34="",J34="",K34="",L34=""),
"Fique atento para a primeira oportunidade que surgir",
IF(AND(G34=0,LOWER(H34)="d",K34=0,LOWER(L34)="d"),
"Fique atento para a primeira oportunidade que surgir",
IF(AND(G34=1,LOWER(H34)="d",K34=1,LOWER(L34)="d"),
"Pelo menos uma vez",
IF(G34=0,"O dia inteiro",IF(G34=1,"Uma vez",TEXT(G34,"0")&amp;" vezes")&amp;" por "&amp;IF(LOWER(H34)="d","dia","semana"))
&amp;IF(AND(ISNUMBER(I34),I34&gt;0),", a cada "&amp;TEXT(I34,"0")&amp;" "&amp;IF(I34=1,IF(LOWER(J34)="d","dia","semana"),IF(LOWER(J34)="d","dias","semanas"))&amp;",","")
&amp;" por um período de "&amp;TEXT(K34,"0")&amp;" "&amp;IF(K34=1,IF(LOWER(L34)="d","dia","semana"),IF(LOWER(L34)="d","dias","semanas"))
)
)
)</f>
        <v/>
      </c>
      <c r="P34" t="inlineStr">
        <is>
          <t>A04</t>
        </is>
      </c>
      <c r="Q34" t="inlineStr">
        <is>
          <t>A04O04</t>
        </is>
      </c>
      <c r="R34" t="inlineStr">
        <is>
          <t>Manter contato com amigos antigos</t>
        </is>
      </c>
      <c r="S34" t="n">
        <v>0.111</v>
      </c>
    </row>
    <row r="35">
      <c r="A35" s="2" t="inlineStr">
        <is>
          <t>Amigos</t>
        </is>
      </c>
      <c r="B35" s="2" t="inlineStr">
        <is>
          <t>Avançado</t>
        </is>
      </c>
      <c r="C35" s="2" t="inlineStr">
        <is>
          <t>Estabelecer noite de leitura/estudo conjunto recorrente.</t>
        </is>
      </c>
      <c r="D35" s="8" t="n">
        <v>4</v>
      </c>
      <c r="E35" s="8" t="n">
        <v>3</v>
      </c>
      <c r="F35" s="8" t="n">
        <v>12</v>
      </c>
      <c r="G35" s="9" t="n">
        <v>1</v>
      </c>
      <c r="H35" s="9" t="inlineStr">
        <is>
          <t>d</t>
        </is>
      </c>
      <c r="I35" s="9" t="n">
        <v>2</v>
      </c>
      <c r="J35" s="9" t="inlineStr">
        <is>
          <t>d</t>
        </is>
      </c>
      <c r="K35" s="9" t="n">
        <v>21</v>
      </c>
      <c r="L35" s="9" t="inlineStr">
        <is>
          <t>d</t>
        </is>
      </c>
      <c r="M35" s="9">
        <f>LEFT(A35,2)&amp;LEFT(B35,1)&amp;TEXT(F35,"000")&amp;"-"&amp;IF(
AND(G35="",H35="",K35="",L35=""),
"0d0d",
TEXT(G35,"0")&amp;LOWER(H35)&amp;TEXT(K35,"0")&amp;LOWER(L35)
)</f>
        <v/>
      </c>
      <c r="N35" s="9">
        <f>IF(B35="Básico",1,IF(B35="Desafio",2,IF(B35="Avançado",3)))</f>
        <v/>
      </c>
      <c r="O35" s="2">
        <f>IF(
AND(G35="",H35="",I35="",J35="",K35="",L35=""),
"Fique atento para a primeira oportunidade que surgir",
IF(AND(G35=0,LOWER(H35)="d",K35=0,LOWER(L35)="d"),
"Fique atento para a primeira oportunidade que surgir",
IF(AND(G35=1,LOWER(H35)="d",K35=1,LOWER(L35)="d"),
"Pelo menos uma vez",
IF(G35=0,"O dia inteiro",IF(G35=1,"Uma vez",TEXT(G35,"0")&amp;" vezes")&amp;" por "&amp;IF(LOWER(H35)="d","dia","semana"))
&amp;IF(AND(ISNUMBER(I35),I35&gt;0),", a cada "&amp;TEXT(I35,"0")&amp;" "&amp;IF(I35=1,IF(LOWER(J35)="d","dia","semana"),IF(LOWER(J35)="d","dias","semanas"))&amp;",","")
&amp;" por um período de "&amp;TEXT(K35,"0")&amp;" "&amp;IF(K35=1,IF(LOWER(L35)="d","dia","semana"),IF(LOWER(L35)="d","dias","semanas"))
)
)
)</f>
        <v/>
      </c>
      <c r="P35" t="inlineStr">
        <is>
          <t>A04</t>
        </is>
      </c>
      <c r="Q35" t="inlineStr">
        <is>
          <t>A04O01</t>
        </is>
      </c>
      <c r="R35" t="inlineStr">
        <is>
          <t>Valorizar os verdadeiros amigos</t>
        </is>
      </c>
      <c r="S35" t="n">
        <v>0</v>
      </c>
    </row>
    <row r="36">
      <c r="A36" s="2" t="inlineStr">
        <is>
          <t>Amigos</t>
        </is>
      </c>
      <c r="B36" s="2" t="inlineStr">
        <is>
          <t>Avançado</t>
        </is>
      </c>
      <c r="C36" s="2" t="inlineStr">
        <is>
          <t>Planejar desafio de saúde entre amigos com acompanhamento.</t>
        </is>
      </c>
      <c r="D36" s="8" t="n">
        <v>4</v>
      </c>
      <c r="E36" s="8" t="n">
        <v>3</v>
      </c>
      <c r="F36" s="8" t="n">
        <v>13</v>
      </c>
      <c r="G36" s="9" t="n">
        <v>1</v>
      </c>
      <c r="H36" s="9" t="inlineStr">
        <is>
          <t>d</t>
        </is>
      </c>
      <c r="I36" s="9" t="n"/>
      <c r="J36" s="9" t="n"/>
      <c r="K36" s="9" t="n">
        <v>1</v>
      </c>
      <c r="L36" s="9" t="inlineStr">
        <is>
          <t>d</t>
        </is>
      </c>
      <c r="M36" s="9">
        <f>LEFT(A36,2)&amp;LEFT(B36,1)&amp;TEXT(F36,"000")&amp;"-"&amp;IF(
AND(G36="",H36="",K36="",L36=""),
"0d0d",
TEXT(G36,"0")&amp;LOWER(H36)&amp;TEXT(K36,"0")&amp;LOWER(L36)
)</f>
        <v/>
      </c>
      <c r="N36" s="9">
        <f>IF(B36="Básico",1,IF(B36="Desafio",2,IF(B36="Avançado",3)))</f>
        <v/>
      </c>
      <c r="O36" s="2">
        <f>IF(
AND(G36="",H36="",I36="",J36="",K36="",L36=""),
"Fique atento para a primeira oportunidade que surgir",
IF(AND(G36=0,LOWER(H36)="d",K36=0,LOWER(L36)="d"),
"Fique atento para a primeira oportunidade que surgir",
IF(AND(G36=1,LOWER(H36)="d",K36=1,LOWER(L36)="d"),
"Pelo menos uma vez",
IF(G36=0,"O dia inteiro",IF(G36=1,"Uma vez",TEXT(G36,"0")&amp;" vezes")&amp;" por "&amp;IF(LOWER(H36)="d","dia","semana"))
&amp;IF(AND(ISNUMBER(I36),I36&gt;0),", a cada "&amp;TEXT(I36,"0")&amp;" "&amp;IF(I36=1,IF(LOWER(J36)="d","dia","semana"),IF(LOWER(J36)="d","dias","semanas"))&amp;",","")
&amp;" por um período de "&amp;TEXT(K36,"0")&amp;" "&amp;IF(K36=1,IF(LOWER(L36)="d","dia","semana"),IF(LOWER(L36)="d","dias","semanas"))
)
)
)</f>
        <v/>
      </c>
      <c r="P36" t="inlineStr">
        <is>
          <t>A04</t>
        </is>
      </c>
      <c r="Q36" t="inlineStr">
        <is>
          <t>A04O01</t>
        </is>
      </c>
      <c r="R36" t="inlineStr">
        <is>
          <t>Valorizar os verdadeiros amigos</t>
        </is>
      </c>
      <c r="S36" t="n">
        <v>0.143</v>
      </c>
    </row>
    <row r="37">
      <c r="A37" s="2" t="inlineStr">
        <is>
          <t>Amigos</t>
        </is>
      </c>
      <c r="B37" s="2" t="inlineStr">
        <is>
          <t>Avançado</t>
        </is>
      </c>
      <c r="C37" s="2" t="inlineStr">
        <is>
          <t>Praticar jejum de redes com o grupo por 7 dias.</t>
        </is>
      </c>
      <c r="D37" s="8" t="n">
        <v>4</v>
      </c>
      <c r="E37" s="8" t="n">
        <v>3</v>
      </c>
      <c r="F37" s="8" t="n">
        <v>14</v>
      </c>
      <c r="G37" s="9" t="n">
        <v>1</v>
      </c>
      <c r="H37" s="9" t="inlineStr">
        <is>
          <t>d</t>
        </is>
      </c>
      <c r="I37" s="9" t="n"/>
      <c r="J37" s="9" t="n"/>
      <c r="K37" s="9" t="n">
        <v>1</v>
      </c>
      <c r="L37" s="9" t="inlineStr">
        <is>
          <t>d</t>
        </is>
      </c>
      <c r="M37" s="9">
        <f>LEFT(A37,2)&amp;LEFT(B37,1)&amp;TEXT(F37,"000")&amp;"-"&amp;IF(
AND(G37="",H37="",K37="",L37=""),
"0d0d",
TEXT(G37,"0")&amp;LOWER(H37)&amp;TEXT(K37,"0")&amp;LOWER(L37)
)</f>
        <v/>
      </c>
      <c r="N37" s="9">
        <f>IF(B37="Básico",1,IF(B37="Desafio",2,IF(B37="Avançado",3)))</f>
        <v/>
      </c>
      <c r="O37" s="2">
        <f>IF(
AND(G37="",H37="",I37="",J37="",K37="",L37=""),
"Fique atento para a primeira oportunidade que surgir",
IF(AND(G37=0,LOWER(H37)="d",K37=0,LOWER(L37)="d"),
"Fique atento para a primeira oportunidade que surgir",
IF(AND(G37=1,LOWER(H37)="d",K37=1,LOWER(L37)="d"),
"Pelo menos uma vez",
IF(G37=0,"O dia inteiro",IF(G37=1,"Uma vez",TEXT(G37,"0")&amp;" vezes")&amp;" por "&amp;IF(LOWER(H37)="d","dia","semana"))
&amp;IF(AND(ISNUMBER(I37),I37&gt;0),", a cada "&amp;TEXT(I37,"0")&amp;" "&amp;IF(I37=1,IF(LOWER(J37)="d","dia","semana"),IF(LOWER(J37)="d","dias","semanas"))&amp;",","")
&amp;" por um período de "&amp;TEXT(K37,"0")&amp;" "&amp;IF(K37=1,IF(LOWER(L37)="d","dia","semana"),IF(LOWER(L37)="d","dias","semanas"))
)
)
)</f>
        <v/>
      </c>
      <c r="P37" t="inlineStr">
        <is>
          <t>A04</t>
        </is>
      </c>
      <c r="Q37" t="inlineStr">
        <is>
          <t>A04O01</t>
        </is>
      </c>
      <c r="R37" t="inlineStr">
        <is>
          <t>Valorizar os verdadeiros amigos</t>
        </is>
      </c>
      <c r="S37" t="n">
        <v>0</v>
      </c>
    </row>
    <row r="38">
      <c r="A38" s="2" t="inlineStr">
        <is>
          <t>Amigos</t>
        </is>
      </c>
      <c r="B38" s="2" t="inlineStr">
        <is>
          <t>Avançado</t>
        </is>
      </c>
      <c r="C38" s="2" t="inlineStr">
        <is>
          <t>Conduzir check-ins semanais (objetivos, vitórias, ajustes).</t>
        </is>
      </c>
      <c r="D38" s="8" t="n">
        <v>4</v>
      </c>
      <c r="E38" s="8" t="n">
        <v>3</v>
      </c>
      <c r="F38" s="8" t="n">
        <v>15</v>
      </c>
      <c r="G38" s="9" t="n">
        <v>1</v>
      </c>
      <c r="H38" s="9" t="inlineStr">
        <is>
          <t>d</t>
        </is>
      </c>
      <c r="I38" s="9" t="n">
        <v>7</v>
      </c>
      <c r="J38" s="9" t="inlineStr">
        <is>
          <t>d</t>
        </is>
      </c>
      <c r="K38" s="9" t="n">
        <v>60</v>
      </c>
      <c r="L38" s="9" t="inlineStr">
        <is>
          <t>d</t>
        </is>
      </c>
      <c r="M38" s="9">
        <f>LEFT(A38,2)&amp;LEFT(B38,1)&amp;TEXT(F38,"000")&amp;"-"&amp;IF(
AND(G38="",H38="",K38="",L38=""),
"0d0d",
TEXT(G38,"0")&amp;LOWER(H38)&amp;TEXT(K38,"0")&amp;LOWER(L38)
)</f>
        <v/>
      </c>
      <c r="N38" s="9">
        <f>IF(B38="Básico",1,IF(B38="Desafio",2,IF(B38="Avançado",3)))</f>
        <v/>
      </c>
      <c r="O38" s="2">
        <f>IF(
AND(G38="",H38="",I38="",J38="",K38="",L38=""),
"Fique atento para a primeira oportunidade que surgir",
IF(AND(G38=0,LOWER(H38)="d",K38=0,LOWER(L38)="d"),
"Fique atento para a primeira oportunidade que surgir",
IF(AND(G38=1,LOWER(H38)="d",K38=1,LOWER(L38)="d"),
"Pelo menos uma vez",
IF(G38=0,"O dia inteiro",IF(G38=1,"Uma vez",TEXT(G38,"0")&amp;" vezes")&amp;" por "&amp;IF(LOWER(H38)="d","dia","semana"))
&amp;IF(AND(ISNUMBER(I38),I38&gt;0),", a cada "&amp;TEXT(I38,"0")&amp;" "&amp;IF(I38=1,IF(LOWER(J38)="d","dia","semana"),IF(LOWER(J38)="d","dias","semanas"))&amp;",","")
&amp;" por um período de "&amp;TEXT(K38,"0")&amp;" "&amp;IF(K38=1,IF(LOWER(L38)="d","dia","semana"),IF(LOWER(L38)="d","dias","semanas"))
)
)
)</f>
        <v/>
      </c>
      <c r="P38" t="inlineStr">
        <is>
          <t>A04</t>
        </is>
      </c>
      <c r="Q38" t="inlineStr">
        <is>
          <t>A04O01</t>
        </is>
      </c>
      <c r="R38" t="inlineStr">
        <is>
          <t>Valorizar os verdadeiros amigos</t>
        </is>
      </c>
      <c r="S38" t="n">
        <v>0</v>
      </c>
    </row>
    <row r="40">
      <c r="A40" s="4" t="n"/>
      <c r="B40" s="4" t="n"/>
    </row>
  </sheetData>
  <dataValidations count="1">
    <dataValidation sqref="I2:I1037 K2:K1037 G2:G1037" showErrorMessage="1" showInputMessage="1" allowBlank="1" errorTitle="Número inválido" error="Informe um número inteiro maior ou igual a 0" type="whole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zoomScale="85" zoomScaleNormal="85" workbookViewId="0">
      <pane ySplit="1" topLeftCell="A22" activePane="bottomLeft" state="frozen"/>
      <selection pane="bottomLeft" activeCell="C33" sqref="C33"/>
    </sheetView>
  </sheetViews>
  <sheetFormatPr baseColWidth="8" defaultRowHeight="15"/>
  <cols>
    <col width="12.28515625" bestFit="1" customWidth="1" min="1" max="1"/>
    <col width="9.5703125" bestFit="1" customWidth="1" min="2" max="2"/>
    <col width="65.5703125" bestFit="1" customWidth="1" min="3" max="3"/>
    <col width="3.7109375" bestFit="1" customWidth="1" min="4" max="12"/>
    <col width="14.42578125" bestFit="1" customWidth="1" min="13" max="13"/>
    <col width="3.7109375" bestFit="1" customWidth="1" style="10" min="14" max="14"/>
    <col width="39.28515625" bestFit="1" customWidth="1" min="15" max="15"/>
  </cols>
  <sheetData>
    <row r="1" ht="84.75" customHeight="1">
      <c r="A1" s="5" t="inlineStr">
        <is>
          <t>Area</t>
        </is>
      </c>
      <c r="B1" s="5" t="inlineStr">
        <is>
          <t>Nivel</t>
        </is>
      </c>
      <c r="C1" s="5" t="inlineStr">
        <is>
          <t>Estrategia</t>
        </is>
      </c>
      <c r="D1" s="5" t="inlineStr">
        <is>
          <t>OrdemArea</t>
        </is>
      </c>
      <c r="E1" s="5" t="inlineStr">
        <is>
          <t>OrdemNivel</t>
        </is>
      </c>
      <c r="F1" s="5" t="inlineStr">
        <is>
          <t>OrdemEstrategia</t>
        </is>
      </c>
      <c r="G1" s="5" t="inlineStr">
        <is>
          <t>FreqNum</t>
        </is>
      </c>
      <c r="H1" s="5" t="inlineStr">
        <is>
          <t>FreqUnid</t>
        </is>
      </c>
      <c r="I1" s="5" t="inlineStr">
        <is>
          <t>CadenciaNum</t>
        </is>
      </c>
      <c r="J1" s="5" t="inlineStr">
        <is>
          <t>CadenciaUnid</t>
        </is>
      </c>
      <c r="K1" s="5" t="inlineStr">
        <is>
          <t>PeriodoNum</t>
        </is>
      </c>
      <c r="L1" s="5" t="inlineStr">
        <is>
          <t>PeriodoUnid</t>
        </is>
      </c>
      <c r="M1" s="13" t="inlineStr">
        <is>
          <t>CODIGO</t>
        </is>
      </c>
      <c r="N1" s="13" t="inlineStr">
        <is>
          <t>Peso</t>
        </is>
      </c>
      <c r="O1" s="13" t="inlineStr">
        <is>
          <t>Descrição da Dosagem</t>
        </is>
      </c>
      <c r="P1" s="16" t="inlineStr">
        <is>
          <t>CodArea</t>
        </is>
      </c>
      <c r="Q1" s="16" t="inlineStr">
        <is>
          <t>CodObjetivoSugerido</t>
        </is>
      </c>
      <c r="R1" s="6" t="inlineStr">
        <is>
          <t>DescObjetivoSugerida</t>
        </is>
      </c>
      <c r="S1" s="6" t="inlineStr">
        <is>
          <t>ScoreAlinhamento</t>
        </is>
      </c>
    </row>
    <row r="2">
      <c r="A2" s="2" t="inlineStr">
        <is>
          <t>Comunidade</t>
        </is>
      </c>
      <c r="B2" s="2" t="inlineStr">
        <is>
          <t>Básico</t>
        </is>
      </c>
      <c r="C2" s="2" t="inlineStr">
        <is>
          <t>Recolher um lixo da rua e jogar no lugar certo.</t>
        </is>
      </c>
      <c r="D2" s="3" t="n">
        <v>5</v>
      </c>
      <c r="E2" s="3" t="n">
        <v>1</v>
      </c>
      <c r="F2" s="3" t="n">
        <v>1</v>
      </c>
      <c r="G2" s="2" t="n"/>
      <c r="H2" s="2" t="n"/>
      <c r="I2" s="2" t="n"/>
      <c r="J2" s="2" t="n"/>
      <c r="K2" s="2" t="n"/>
      <c r="L2" s="2" t="n"/>
      <c r="M2" s="9">
        <f>LEFT(A2,2)&amp;LEFT(B2,1)&amp;TEXT(F2,"000")&amp;"-"&amp;IF(
  AND(G2="",H2="",K2="",L2=""),
  "0d0d",
  TEXT(G2,"0")&amp;LOWER(H2)&amp;TEXT(K2,"0")&amp;LOWER(L2)
)</f>
        <v/>
      </c>
      <c r="N2" s="9">
        <f>IF(B2="Básico",1,IF(B2="Desafio",2,IF(B2="Avançado",3)))</f>
        <v/>
      </c>
      <c r="O2" s="2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/>
      </c>
      <c r="P2" t="inlineStr">
        <is>
          <t>A05</t>
        </is>
      </c>
      <c r="Q2" t="inlineStr">
        <is>
          <t>A05O01</t>
        </is>
      </c>
      <c r="R2" t="inlineStr">
        <is>
          <t>Participar de ações sociais ou voluntariado</t>
        </is>
      </c>
      <c r="S2" t="n">
        <v>0</v>
      </c>
    </row>
    <row r="3">
      <c r="A3" s="2" t="inlineStr">
        <is>
          <t>Comunidade</t>
        </is>
      </c>
      <c r="B3" s="2" t="inlineStr">
        <is>
          <t>Básico</t>
        </is>
      </c>
      <c r="C3" s="2" t="inlineStr">
        <is>
          <t>Cumprimentar educadamente vizinhos.</t>
        </is>
      </c>
      <c r="D3" s="3" t="n">
        <v>5</v>
      </c>
      <c r="E3" s="3" t="n">
        <v>1</v>
      </c>
      <c r="F3" s="3" t="n">
        <v>2</v>
      </c>
      <c r="G3" s="2" t="n"/>
      <c r="H3" s="2" t="n"/>
      <c r="I3" s="2" t="n"/>
      <c r="J3" s="2" t="n"/>
      <c r="K3" s="2" t="n"/>
      <c r="L3" s="2" t="n"/>
      <c r="M3" s="9">
        <f>LEFT(A3,2)&amp;LEFT(B3,1)&amp;TEXT(F3,"000")&amp;"-"&amp;IF(
  AND(G3="",H3="",K3="",L3=""),
  "0d0d",
  TEXT(G3,"0")&amp;LOWER(H3)&amp;TEXT(K3,"0")&amp;LOWER(L3)
)</f>
        <v/>
      </c>
      <c r="N3" s="9">
        <f>IF(B3="Básico",1,IF(B3="Desafio",2,IF(B3="Avançado",3)))</f>
        <v/>
      </c>
      <c r="O3" s="2">
        <f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/>
      </c>
      <c r="P3" t="inlineStr">
        <is>
          <t>A05</t>
        </is>
      </c>
      <c r="Q3" t="inlineStr">
        <is>
          <t>A05O05</t>
        </is>
      </c>
      <c r="R3" t="inlineStr">
        <is>
          <t>Tratar bem os vizinhos</t>
        </is>
      </c>
      <c r="S3" t="n">
        <v>0.25</v>
      </c>
    </row>
    <row r="4">
      <c r="A4" s="2" t="inlineStr">
        <is>
          <t>Comunidade</t>
        </is>
      </c>
      <c r="B4" s="2" t="inlineStr">
        <is>
          <t>Básico</t>
        </is>
      </c>
      <c r="C4" s="2" t="inlineStr">
        <is>
          <t>Ajudar alguém a carregar algo pesado.</t>
        </is>
      </c>
      <c r="D4" s="3" t="n">
        <v>5</v>
      </c>
      <c r="E4" s="3" t="n">
        <v>1</v>
      </c>
      <c r="F4" s="3" t="n">
        <v>3</v>
      </c>
      <c r="G4" s="2" t="n"/>
      <c r="H4" s="2" t="n"/>
      <c r="I4" s="2" t="n"/>
      <c r="J4" s="2" t="n"/>
      <c r="K4" s="2" t="n"/>
      <c r="L4" s="2" t="n"/>
      <c r="M4" s="9">
        <f>LEFT(A4,2)&amp;LEFT(B4,1)&amp;TEXT(F4,"000")&amp;"-"&amp;IF(
AND(G4="",H4="",K4="",L4=""),
"0d0d",
TEXT(G4,"0")&amp;LOWER(H4)&amp;TEXT(K4,"0")&amp;LOWER(L4)
)</f>
        <v/>
      </c>
      <c r="N4" s="9">
        <f>IF(B4="Básico",1,IF(B4="Desafio",2,IF(B4="Avançado",3)))</f>
        <v/>
      </c>
      <c r="O4" s="2">
        <f>IF(
AND(G4="",H4="",I4="",J4="",K4="",L4=""),
"Fique atento para a primeira oportunidade que surgir",
IF(AND(G4=0,LOWER(H4)="d",K4=0,LOWER(L4)="d"),
"Fique atento para a primeira oportunidade que surgir",
IF(AND(G4=1,LOWER(H4)="d",K4=1,LOWER(L4)="d"),
"Pelo menos uma vez",
IF(G4=0,"O dia inteiro",IF(G4=1,"Uma vez",TEXT(G4,"0")&amp;" vezes")&amp;" por "&amp;IF(LOWER(H4)="d","dia","semana"))
&amp;IF(AND(ISNUMBER(I4),I4&gt;0),", a cada "&amp;TEXT(I4,"0")&amp;" "&amp;IF(I4=1,IF(LOWER(J4)="d","dia","semana"),IF(LOWER(J4)="d","dias","semanas"))&amp;",","")
&amp;" por um período de "&amp;TEXT(K4,"0")&amp;" "&amp;IF(K4=1,IF(LOWER(L4)="d","dia","semana"),IF(LOWER(L4)="d","dias","semanas"))
)
)
)</f>
        <v/>
      </c>
      <c r="P4" t="inlineStr">
        <is>
          <t>A05</t>
        </is>
      </c>
      <c r="Q4" t="inlineStr">
        <is>
          <t>A05O06</t>
        </is>
      </c>
      <c r="R4" t="inlineStr">
        <is>
          <t>Ajudar idosos ou crianças quando possível</t>
        </is>
      </c>
      <c r="S4" t="n">
        <v>0.111</v>
      </c>
    </row>
    <row r="5">
      <c r="A5" s="2" t="inlineStr">
        <is>
          <t>Comunidade</t>
        </is>
      </c>
      <c r="B5" s="2" t="inlineStr">
        <is>
          <t>Básico</t>
        </is>
      </c>
      <c r="C5" s="2" t="inlineStr">
        <is>
          <t>Ceder lugar no ônibus ou assento.</t>
        </is>
      </c>
      <c r="D5" s="3" t="n">
        <v>5</v>
      </c>
      <c r="E5" s="3" t="n">
        <v>1</v>
      </c>
      <c r="F5" s="3" t="n">
        <v>4</v>
      </c>
      <c r="G5" s="2" t="n"/>
      <c r="H5" s="2" t="n"/>
      <c r="I5" s="2" t="n"/>
      <c r="J5" s="2" t="n"/>
      <c r="K5" s="2" t="n"/>
      <c r="L5" s="2" t="n"/>
      <c r="M5" s="9">
        <f>LEFT(A5,2)&amp;LEFT(B5,1)&amp;TEXT(F5,"000")&amp;"-"&amp;IF(
AND(G5="",H5="",K5="",L5=""),
"0d0d",
TEXT(G5,"0")&amp;LOWER(H5)&amp;TEXT(K5,"0")&amp;LOWER(L5)
)</f>
        <v/>
      </c>
      <c r="N5" s="9">
        <f>IF(B5="Básico",1,IF(B5="Desafio",2,IF(B5="Avançado",3)))</f>
        <v/>
      </c>
      <c r="O5" s="2">
        <f>IF(
AND(G5="",H5="",I5="",J5="",K5="",L5=""),
"Fique atento para a primeira oportunidade que surgir",
IF(AND(G5=0,LOWER(H5)="d",K5=0,LOWER(L5)="d"),
"Fique atento para a primeira oportunidade que surgir",
IF(AND(G5=1,LOWER(H5)="d",K5=1,LOWER(L5)="d"),
"Pelo menos uma vez",
IF(G5=0,"O dia inteiro",IF(G5=1,"Uma vez",TEXT(G5,"0")&amp;" vezes")&amp;" por "&amp;IF(LOWER(H5)="d","dia","semana"))
&amp;IF(AND(ISNUMBER(I5),I5&gt;0),", a cada "&amp;TEXT(I5,"0")&amp;" "&amp;IF(I5=1,IF(LOWER(J5)="d","dia","semana"),IF(LOWER(J5)="d","dias","semanas"))&amp;",","")
&amp;" por um período de "&amp;TEXT(K5,"0")&amp;" "&amp;IF(K5=1,IF(LOWER(L5)="d","dia","semana"),IF(LOWER(L5)="d","dias","semanas"))
)
)
)</f>
        <v/>
      </c>
      <c r="P5" t="inlineStr">
        <is>
          <t>A05</t>
        </is>
      </c>
      <c r="Q5" t="inlineStr">
        <is>
          <t>A05O01</t>
        </is>
      </c>
      <c r="R5" t="inlineStr">
        <is>
          <t>Participar de ações sociais ou voluntariado</t>
        </is>
      </c>
      <c r="S5" t="n">
        <v>0</v>
      </c>
    </row>
    <row r="6">
      <c r="A6" s="2" t="inlineStr">
        <is>
          <t>Comunidade</t>
        </is>
      </c>
      <c r="B6" s="2" t="inlineStr">
        <is>
          <t>Básico</t>
        </is>
      </c>
      <c r="C6" s="2" t="inlineStr">
        <is>
          <t>Guardar silêncio em locais públicos.</t>
        </is>
      </c>
      <c r="D6" s="3" t="n">
        <v>5</v>
      </c>
      <c r="E6" s="3" t="n">
        <v>1</v>
      </c>
      <c r="F6" s="3" t="n">
        <v>5</v>
      </c>
      <c r="G6" s="2" t="n"/>
      <c r="H6" s="2" t="n"/>
      <c r="I6" s="2" t="n"/>
      <c r="J6" s="2" t="n"/>
      <c r="K6" s="2" t="n"/>
      <c r="L6" s="2" t="n"/>
      <c r="M6" s="9">
        <f>LEFT(A6,2)&amp;LEFT(B6,1)&amp;TEXT(F6,"000")&amp;"-"&amp;IF(
AND(G6="",H6="",K6="",L6=""),
"0d0d",
TEXT(G6,"0")&amp;LOWER(H6)&amp;TEXT(K6,"0")&amp;LOWER(L6)
)</f>
        <v/>
      </c>
      <c r="N6" s="9">
        <f>IF(B6="Básico",1,IF(B6="Desafio",2,IF(B6="Avançado",3)))</f>
        <v/>
      </c>
      <c r="O6" s="2">
        <f>IF(
AND(G6="",H6="",I6="",J6="",K6="",L6=""),
"Fique atento para a primeira oportunidade que surgir",
IF(AND(G6=0,LOWER(H6)="d",K6=0,LOWER(L6)="d"),
"Fique atento para a primeira oportunidade que surgir",
IF(AND(G6=1,LOWER(H6)="d",K6=1,LOWER(L6)="d"),
"Pelo menos uma vez",
IF(G6=0,"O dia inteiro",IF(G6=1,"Uma vez",TEXT(G6,"0")&amp;" vezes")&amp;" por "&amp;IF(LOWER(H6)="d","dia","semana"))
&amp;IF(AND(ISNUMBER(I6),I6&gt;0),", a cada "&amp;TEXT(I6,"0")&amp;" "&amp;IF(I6=1,IF(LOWER(J6)="d","dia","semana"),IF(LOWER(J6)="d","dias","semanas"))&amp;",","")
&amp;" por um período de "&amp;TEXT(K6,"0")&amp;" "&amp;IF(K6=1,IF(LOWER(L6)="d","dia","semana"),IF(LOWER(L6)="d","dias","semanas"))
)
)
)</f>
        <v/>
      </c>
      <c r="P6" t="inlineStr">
        <is>
          <t>A05</t>
        </is>
      </c>
      <c r="Q6" t="inlineStr">
        <is>
          <t>A05O01</t>
        </is>
      </c>
      <c r="R6" t="inlineStr">
        <is>
          <t>Participar de ações sociais ou voluntariado</t>
        </is>
      </c>
      <c r="S6" t="n">
        <v>0</v>
      </c>
    </row>
    <row r="7">
      <c r="A7" s="2" t="inlineStr">
        <is>
          <t>Comunidade</t>
        </is>
      </c>
      <c r="B7" s="2" t="inlineStr">
        <is>
          <t>Básico</t>
        </is>
      </c>
      <c r="C7" s="2" t="inlineStr">
        <is>
          <t>Respeitar filas sem reclamar.</t>
        </is>
      </c>
      <c r="D7" s="3" t="n">
        <v>5</v>
      </c>
      <c r="E7" s="3" t="n">
        <v>1</v>
      </c>
      <c r="F7" s="3" t="n">
        <v>6</v>
      </c>
      <c r="G7" s="2" t="n"/>
      <c r="H7" s="2" t="n"/>
      <c r="I7" s="2" t="n"/>
      <c r="J7" s="2" t="n"/>
      <c r="K7" s="2" t="n"/>
      <c r="L7" s="2" t="n"/>
      <c r="M7" s="9">
        <f>LEFT(A7,2)&amp;LEFT(B7,1)&amp;TEXT(F7,"000")&amp;"-"&amp;IF(
AND(G7="",H7="",K7="",L7=""),
"0d0d",
TEXT(G7,"0")&amp;LOWER(H7)&amp;TEXT(K7,"0")&amp;LOWER(L7)
)</f>
        <v/>
      </c>
      <c r="N7" s="9">
        <f>IF(B7="Básico",1,IF(B7="Desafio",2,IF(B7="Avançado",3)))</f>
        <v/>
      </c>
      <c r="O7" s="2">
        <f>IF(
AND(G7="",H7="",I7="",J7="",K7="",L7=""),
"Fique atento para a primeira oportunidade que surgir",
IF(AND(G7=0,LOWER(H7)="d",K7=0,LOWER(L7)="d"),
"Fique atento para a primeira oportunidade que surgir",
IF(AND(G7=1,LOWER(H7)="d",K7=1,LOWER(L7)="d"),
"Pelo menos uma vez",
IF(G7=0,"O dia inteiro",IF(G7=1,"Uma vez",TEXT(G7,"0")&amp;" vezes")&amp;" por "&amp;IF(LOWER(H7)="d","dia","semana"))
&amp;IF(AND(ISNUMBER(I7),I7&gt;0),", a cada "&amp;TEXT(I7,"0")&amp;" "&amp;IF(I7=1,IF(LOWER(J7)="d","dia","semana"),IF(LOWER(J7)="d","dias","semanas"))&amp;",","")
&amp;" por um período de "&amp;TEXT(K7,"0")&amp;" "&amp;IF(K7=1,IF(LOWER(L7)="d","dia","semana"),IF(LOWER(L7)="d","dias","semanas"))
)
)
)</f>
        <v/>
      </c>
      <c r="P7" t="inlineStr">
        <is>
          <t>A05</t>
        </is>
      </c>
      <c r="Q7" t="inlineStr">
        <is>
          <t>A05O01</t>
        </is>
      </c>
      <c r="R7" t="inlineStr">
        <is>
          <t>Participar de ações sociais ou voluntariado</t>
        </is>
      </c>
      <c r="S7" t="n">
        <v>0</v>
      </c>
    </row>
    <row r="8">
      <c r="A8" s="2" t="inlineStr">
        <is>
          <t>Comunidade</t>
        </is>
      </c>
      <c r="B8" s="2" t="inlineStr">
        <is>
          <t>Básico</t>
        </is>
      </c>
      <c r="C8" s="2" t="inlineStr">
        <is>
          <t>Agradecer a um trabalhador do bairro.</t>
        </is>
      </c>
      <c r="D8" s="3" t="n">
        <v>5</v>
      </c>
      <c r="E8" s="3" t="n">
        <v>1</v>
      </c>
      <c r="F8" s="3" t="n">
        <v>7</v>
      </c>
      <c r="G8" s="2" t="n"/>
      <c r="H8" s="2" t="n"/>
      <c r="I8" s="2" t="n"/>
      <c r="J8" s="2" t="n"/>
      <c r="K8" s="2" t="n"/>
      <c r="L8" s="2" t="n"/>
      <c r="M8" s="9">
        <f>LEFT(A8,2)&amp;LEFT(B8,1)&amp;TEXT(F8,"000")&amp;"-"&amp;IF(
AND(G8="",H8="",K8="",L8=""),
"0d0d",
TEXT(G8,"0")&amp;LOWER(H8)&amp;TEXT(K8,"0")&amp;LOWER(L8)
)</f>
        <v/>
      </c>
      <c r="N8" s="9">
        <f>IF(B8="Básico",1,IF(B8="Desafio",2,IF(B8="Avançado",3)))</f>
        <v/>
      </c>
      <c r="O8" s="2">
        <f>IF(
AND(G8="",H8="",I8="",J8="",K8="",L8=""),
"Fique atento para a primeira oportunidade que surgir",
IF(AND(G8=0,LOWER(H8)="d",K8=0,LOWER(L8)="d"),
"Fique atento para a primeira oportunidade que surgir",
IF(AND(G8=1,LOWER(H8)="d",K8=1,LOWER(L8)="d"),
"Pelo menos uma vez",
IF(G8=0,"O dia inteiro",IF(G8=1,"Uma vez",TEXT(G8,"0")&amp;" vezes")&amp;" por "&amp;IF(LOWER(H8)="d","dia","semana"))
&amp;IF(AND(ISNUMBER(I8),I8&gt;0),", a cada "&amp;TEXT(I8,"0")&amp;" "&amp;IF(I8=1,IF(LOWER(J8)="d","dia","semana"),IF(LOWER(J8)="d","dias","semanas"))&amp;",","")
&amp;" por um período de "&amp;TEXT(K8,"0")&amp;" "&amp;IF(K8=1,IF(LOWER(L8)="d","dia","semana"),IF(LOWER(L8)="d","dias","semanas"))
)
)
)</f>
        <v/>
      </c>
      <c r="P8" t="inlineStr">
        <is>
          <t>A05</t>
        </is>
      </c>
      <c r="Q8" t="inlineStr">
        <is>
          <t>A05O01</t>
        </is>
      </c>
      <c r="R8" t="inlineStr">
        <is>
          <t>Participar de ações sociais ou voluntariado</t>
        </is>
      </c>
      <c r="S8" t="n">
        <v>0</v>
      </c>
    </row>
    <row r="9">
      <c r="A9" s="2" t="inlineStr">
        <is>
          <t>Comunidade</t>
        </is>
      </c>
      <c r="B9" s="2" t="inlineStr">
        <is>
          <t>Básico</t>
        </is>
      </c>
      <c r="C9" s="2" t="inlineStr">
        <is>
          <t>Participar de uma ação social da igreja ou escola.</t>
        </is>
      </c>
      <c r="D9" s="3" t="n">
        <v>5</v>
      </c>
      <c r="E9" s="3" t="n">
        <v>1</v>
      </c>
      <c r="F9" s="3" t="n">
        <v>8</v>
      </c>
      <c r="G9" s="2" t="n"/>
      <c r="H9" s="2" t="n"/>
      <c r="I9" s="2" t="n"/>
      <c r="J9" s="2" t="n"/>
      <c r="K9" s="2" t="n"/>
      <c r="L9" s="2" t="n"/>
      <c r="M9" s="9">
        <f>LEFT(A9,2)&amp;LEFT(B9,1)&amp;TEXT(F9,"000")&amp;"-"&amp;IF(
AND(G9="",H9="",K9="",L9=""),
"0d0d",
TEXT(G9,"0")&amp;LOWER(H9)&amp;TEXT(K9,"0")&amp;LOWER(L9)
)</f>
        <v/>
      </c>
      <c r="N9" s="9">
        <f>IF(B9="Básico",1,IF(B9="Desafio",2,IF(B9="Avançado",3)))</f>
        <v/>
      </c>
      <c r="O9" s="2">
        <f>IF(
AND(G9="",H9="",I9="",J9="",K9="",L9=""),
"Fique atento para a primeira oportunidade que surgir",
IF(AND(G9=0,LOWER(H9)="d",K9=0,LOWER(L9)="d"),
"Fique atento para a primeira oportunidade que surgir",
IF(AND(G9=1,LOWER(H9)="d",K9=1,LOWER(L9)="d"),
"Pelo menos uma vez",
IF(G9=0,"O dia inteiro",IF(G9=1,"Uma vez",TEXT(G9,"0")&amp;" vezes")&amp;" por "&amp;IF(LOWER(H9)="d","dia","semana"))
&amp;IF(AND(ISNUMBER(I9),I9&gt;0),", a cada "&amp;TEXT(I9,"0")&amp;" "&amp;IF(I9=1,IF(LOWER(J9)="d","dia","semana"),IF(LOWER(J9)="d","dias","semanas"))&amp;",","")
&amp;" por um período de "&amp;TEXT(K9,"0")&amp;" "&amp;IF(K9=1,IF(LOWER(L9)="d","dia","semana"),IF(LOWER(L9)="d","dias","semanas"))
)
)
)</f>
        <v/>
      </c>
      <c r="P9" t="inlineStr">
        <is>
          <t>A05</t>
        </is>
      </c>
      <c r="Q9" t="inlineStr">
        <is>
          <t>A05O01</t>
        </is>
      </c>
      <c r="R9" t="inlineStr">
        <is>
          <t>Participar de ações sociais ou voluntariado</t>
        </is>
      </c>
      <c r="S9" t="n">
        <v>0.125</v>
      </c>
    </row>
    <row r="10">
      <c r="A10" s="2" t="inlineStr">
        <is>
          <t>Comunidade</t>
        </is>
      </c>
      <c r="B10" s="2" t="inlineStr">
        <is>
          <t>Básico</t>
        </is>
      </c>
      <c r="C10" s="2" t="inlineStr">
        <is>
          <t>Doar uma peça de roupa em bom estado.</t>
        </is>
      </c>
      <c r="D10" s="3" t="n">
        <v>5</v>
      </c>
      <c r="E10" s="3" t="n">
        <v>1</v>
      </c>
      <c r="F10" s="3" t="n">
        <v>9</v>
      </c>
      <c r="G10" s="2" t="n"/>
      <c r="H10" s="2" t="n"/>
      <c r="I10" s="2" t="n"/>
      <c r="J10" s="2" t="n"/>
      <c r="K10" s="2" t="n"/>
      <c r="L10" s="2" t="n"/>
      <c r="M10" s="9">
        <f>LEFT(A10,2)&amp;LEFT(B10,1)&amp;TEXT(F10,"000")&amp;"-"&amp;IF(
AND(G10="",H10="",K10="",L10=""),
"0d0d",
TEXT(G10,"0")&amp;LOWER(H10)&amp;TEXT(K10,"0")&amp;LOWER(L10)
)</f>
        <v/>
      </c>
      <c r="N10" s="9">
        <f>IF(B10="Básico",1,IF(B10="Desafio",2,IF(B10="Avançado",3)))</f>
        <v/>
      </c>
      <c r="O10" s="2">
        <f>IF(
AND(G10="",H10="",I10="",J10="",K10="",L10=""),
"Fique atento para a primeira oportunidade que surgir",
IF(AND(G10=0,LOWER(H10)="d",K10=0,LOWER(L10)="d"),
"Fique atento para a primeira oportunidade que surgir",
IF(AND(G10=1,LOWER(H10)="d",K10=1,LOWER(L10)="d"),
"Pelo menos uma vez",
IF(G10=0,"O dia inteiro",IF(G10=1,"Uma vez",TEXT(G10,"0")&amp;" vezes")&amp;" por "&amp;IF(LOWER(H10)="d","dia","semana"))
&amp;IF(AND(ISNUMBER(I10),I10&gt;0),", a cada "&amp;TEXT(I10,"0")&amp;" "&amp;IF(I10=1,IF(LOWER(J10)="d","dia","semana"),IF(LOWER(J10)="d","dias","semanas"))&amp;",","")
&amp;" por um período de "&amp;TEXT(K10,"0")&amp;" "&amp;IF(K10=1,IF(LOWER(L10)="d","dia","semana"),IF(LOWER(L10)="d","dias","semanas"))
)
)
)</f>
        <v/>
      </c>
      <c r="P10" t="inlineStr">
        <is>
          <t>A05</t>
        </is>
      </c>
      <c r="Q10" t="inlineStr">
        <is>
          <t>A05O01</t>
        </is>
      </c>
      <c r="R10" t="inlineStr">
        <is>
          <t>Participar de ações sociais ou voluntariado</t>
        </is>
      </c>
      <c r="S10" t="n">
        <v>0</v>
      </c>
    </row>
    <row r="11">
      <c r="A11" s="2" t="inlineStr">
        <is>
          <t>Comunidade</t>
        </is>
      </c>
      <c r="B11" s="2" t="inlineStr">
        <is>
          <t>Básico</t>
        </is>
      </c>
      <c r="C11" s="2" t="inlineStr">
        <is>
          <t>Segurar a porta aberta para alguém.</t>
        </is>
      </c>
      <c r="D11" s="3" t="n">
        <v>5</v>
      </c>
      <c r="E11" s="3" t="n">
        <v>1</v>
      </c>
      <c r="F11" s="3" t="n">
        <v>10</v>
      </c>
      <c r="G11" s="2" t="n"/>
      <c r="H11" s="2" t="n"/>
      <c r="I11" s="2" t="n"/>
      <c r="J11" s="2" t="n"/>
      <c r="K11" s="2" t="n"/>
      <c r="L11" s="2" t="n"/>
      <c r="M11" s="9">
        <f>LEFT(A11,2)&amp;LEFT(B11,1)&amp;TEXT(F11,"000")&amp;"-"&amp;IF(
AND(G11="",H11="",K11="",L11=""),
"0d0d",
TEXT(G11,"0")&amp;LOWER(H11)&amp;TEXT(K11,"0")&amp;LOWER(L11)
)</f>
        <v/>
      </c>
      <c r="N11" s="9">
        <f>IF(B11="Básico",1,IF(B11="Desafio",2,IF(B11="Avançado",3)))</f>
        <v/>
      </c>
      <c r="O11" s="2">
        <f>IF(
AND(G11="",H11="",I11="",J11="",K11="",L11=""),
"Fique atento para a primeira oportunidade que surgir",
IF(AND(G11=0,LOWER(H11)="d",K11=0,LOWER(L11)="d"),
"Fique atento para a primeira oportunidade que surgir",
IF(AND(G11=1,LOWER(H11)="d",K11=1,LOWER(L11)="d"),
"Pelo menos uma vez",
IF(G11=0,"O dia inteiro",IF(G11=1,"Uma vez",TEXT(G11,"0")&amp;" vezes")&amp;" por "&amp;IF(LOWER(H11)="d","dia","semana"))
&amp;IF(AND(ISNUMBER(I11),I11&gt;0),", a cada "&amp;TEXT(I11,"0")&amp;" "&amp;IF(I11=1,IF(LOWER(J11)="d","dia","semana"),IF(LOWER(J11)="d","dias","semanas"))&amp;",","")
&amp;" por um período de "&amp;TEXT(K11,"0")&amp;" "&amp;IF(K11=1,IF(LOWER(L11)="d","dia","semana"),IF(LOWER(L11)="d","dias","semanas"))
)
)
)</f>
        <v/>
      </c>
      <c r="P11" t="inlineStr">
        <is>
          <t>A05</t>
        </is>
      </c>
      <c r="Q11" t="inlineStr">
        <is>
          <t>A05O01</t>
        </is>
      </c>
      <c r="R11" t="inlineStr">
        <is>
          <t>Participar de ações sociais ou voluntariado</t>
        </is>
      </c>
      <c r="S11" t="n">
        <v>0</v>
      </c>
    </row>
    <row r="12">
      <c r="A12" s="2" t="inlineStr">
        <is>
          <t>Comunidade</t>
        </is>
      </c>
      <c r="B12" s="2" t="inlineStr">
        <is>
          <t>Desafio</t>
        </is>
      </c>
      <c r="C12" s="2" t="inlineStr">
        <is>
          <t>Pesquisar e participar de um voluntariado local.</t>
        </is>
      </c>
      <c r="D12" s="3" t="n">
        <v>5</v>
      </c>
      <c r="E12" s="3" t="n">
        <v>2</v>
      </c>
      <c r="F12" s="3" t="n">
        <v>1</v>
      </c>
      <c r="G12" s="2" t="n"/>
      <c r="H12" s="2" t="n"/>
      <c r="I12" s="2" t="n"/>
      <c r="J12" s="2" t="n"/>
      <c r="K12" s="2" t="n"/>
      <c r="L12" s="2" t="n"/>
      <c r="M12" s="9">
        <f>LEFT(A12,2)&amp;LEFT(B12,1)&amp;TEXT(F12,"000")&amp;"-"&amp;IF(
AND(G12="",H12="",K12="",L12=""),
"0d0d",
TEXT(G12,"0")&amp;LOWER(H12)&amp;TEXT(K12,"0")&amp;LOWER(L12)
)</f>
        <v/>
      </c>
      <c r="N12" s="9">
        <f>IF(B12="Básico",1,IF(B12="Desafio",2,IF(B12="Avançado",3)))</f>
        <v/>
      </c>
      <c r="O12" s="2">
        <f>IF(
AND(G12="",H12="",I12="",J12="",K12="",L12=""),
"Fique atento para a primeira oportunidade que surgir",
IF(AND(G12=0,LOWER(H12)="d",K12=0,LOWER(L12)="d"),
"Fique atento para a primeira oportunidade que surgir",
IF(AND(G12=1,LOWER(H12)="d",K12=1,LOWER(L12)="d"),
"Pelo menos uma vez",
IF(G12=0,"O dia inteiro",IF(G12=1,"Uma vez",TEXT(G12,"0")&amp;" vezes")&amp;" por "&amp;IF(LOWER(H12)="d","dia","semana"))
&amp;IF(AND(ISNUMBER(I12),I12&gt;0),", a cada "&amp;TEXT(I12,"0")&amp;" "&amp;IF(I12=1,IF(LOWER(J12)="d","dia","semana"),IF(LOWER(J12)="d","dias","semanas"))&amp;",","")
&amp;" por um período de "&amp;TEXT(K12,"0")&amp;" "&amp;IF(K12=1,IF(LOWER(L12)="d","dia","semana"),IF(LOWER(L12)="d","dias","semanas"))
)
)
)</f>
        <v/>
      </c>
      <c r="P12" t="inlineStr">
        <is>
          <t>A05</t>
        </is>
      </c>
      <c r="Q12" t="inlineStr">
        <is>
          <t>A05O01</t>
        </is>
      </c>
      <c r="R12" t="inlineStr">
        <is>
          <t>Participar de ações sociais ou voluntariado</t>
        </is>
      </c>
      <c r="S12" t="n">
        <v>0.333</v>
      </c>
    </row>
    <row r="13">
      <c r="A13" s="2" t="inlineStr">
        <is>
          <t>Comunidade</t>
        </is>
      </c>
      <c r="B13" s="2" t="inlineStr">
        <is>
          <t>Desafio</t>
        </is>
      </c>
      <c r="C13" s="2" t="inlineStr">
        <is>
          <t>Apoiar uma campanha de doação (alimentos/agasalhos).</t>
        </is>
      </c>
      <c r="D13" s="3" t="n">
        <v>5</v>
      </c>
      <c r="E13" s="3" t="n">
        <v>2</v>
      </c>
      <c r="F13" s="3" t="n">
        <v>2</v>
      </c>
      <c r="G13" s="2" t="n"/>
      <c r="H13" s="2" t="n"/>
      <c r="I13" s="2" t="n"/>
      <c r="J13" s="2" t="n"/>
      <c r="K13" s="2" t="n"/>
      <c r="L13" s="2" t="n"/>
      <c r="M13" s="9">
        <f>LEFT(A13,2)&amp;LEFT(B13,1)&amp;TEXT(F13,"000")&amp;"-"&amp;IF(
AND(G13="",H13="",K13="",L13=""),
"0d0d",
TEXT(G13,"0")&amp;LOWER(H13)&amp;TEXT(K13,"0")&amp;LOWER(L13)
)</f>
        <v/>
      </c>
      <c r="N13" s="9">
        <f>IF(B13="Básico",1,IF(B13="Desafio",2,IF(B13="Avançado",3)))</f>
        <v/>
      </c>
      <c r="O13" s="2">
        <f>IF(
AND(G13="",H13="",I13="",J13="",K13="",L13=""),
"Fique atento para a primeira oportunidade que surgir",
IF(AND(G13=0,LOWER(H13)="d",K13=0,LOWER(L13)="d"),
"Fique atento para a primeira oportunidade que surgir",
IF(AND(G13=1,LOWER(H13)="d",K13=1,LOWER(L13)="d"),
"Pelo menos uma vez",
IF(G13=0,"O dia inteiro",IF(G13=1,"Uma vez",TEXT(G13,"0")&amp;" vezes")&amp;" por "&amp;IF(LOWER(H13)="d","dia","semana"))
&amp;IF(AND(ISNUMBER(I13),I13&gt;0),", a cada "&amp;TEXT(I13,"0")&amp;" "&amp;IF(I13=1,IF(LOWER(J13)="d","dia","semana"),IF(LOWER(J13)="d","dias","semanas"))&amp;",","")
&amp;" por um período de "&amp;TEXT(K13,"0")&amp;" "&amp;IF(K13=1,IF(LOWER(L13)="d","dia","semana"),IF(LOWER(L13)="d","dias","semanas"))
)
)
)</f>
        <v/>
      </c>
      <c r="P13" t="inlineStr">
        <is>
          <t>A05</t>
        </is>
      </c>
      <c r="Q13" t="inlineStr">
        <is>
          <t>A05O01</t>
        </is>
      </c>
      <c r="R13" t="inlineStr">
        <is>
          <t>Participar de ações sociais ou voluntariado</t>
        </is>
      </c>
      <c r="S13" t="n">
        <v>0</v>
      </c>
    </row>
    <row r="14">
      <c r="A14" s="2" t="inlineStr">
        <is>
          <t>Comunidade</t>
        </is>
      </c>
      <c r="B14" s="2" t="inlineStr">
        <is>
          <t>Desafio</t>
        </is>
      </c>
      <c r="C14" s="2" t="inlineStr">
        <is>
          <t>Ajudar a pintar, consertar ou limpar um espaço público.</t>
        </is>
      </c>
      <c r="D14" s="3" t="n">
        <v>5</v>
      </c>
      <c r="E14" s="3" t="n">
        <v>2</v>
      </c>
      <c r="F14" s="3" t="n">
        <v>3</v>
      </c>
      <c r="G14" s="2" t="n"/>
      <c r="H14" s="2" t="n"/>
      <c r="I14" s="2" t="n"/>
      <c r="J14" s="2" t="n"/>
      <c r="K14" s="2" t="n"/>
      <c r="L14" s="2" t="n"/>
      <c r="M14" s="9">
        <f>LEFT(A14,2)&amp;LEFT(B14,1)&amp;TEXT(F14,"000")&amp;"-"&amp;IF(
AND(G14="",H14="",K14="",L14=""),
"0d0d",
TEXT(G14,"0")&amp;LOWER(H14)&amp;TEXT(K14,"0")&amp;LOWER(L14)
)</f>
        <v/>
      </c>
      <c r="N14" s="9">
        <f>IF(B14="Básico",1,IF(B14="Desafio",2,IF(B14="Avançado",3)))</f>
        <v/>
      </c>
      <c r="O14" s="2">
        <f>IF(
AND(G14="",H14="",I14="",J14="",K14="",L14=""),
"Fique atento para a primeira oportunidade que surgir",
IF(AND(G14=0,LOWER(H14)="d",K14=0,LOWER(L14)="d"),
"Fique atento para a primeira oportunidade que surgir",
IF(AND(G14=1,LOWER(H14)="d",K14=1,LOWER(L14)="d"),
"Pelo menos uma vez",
IF(G14=0,"O dia inteiro",IF(G14=1,"Uma vez",TEXT(G14,"0")&amp;" vezes")&amp;" por "&amp;IF(LOWER(H14)="d","dia","semana"))
&amp;IF(AND(ISNUMBER(I14),I14&gt;0),", a cada "&amp;TEXT(I14,"0")&amp;" "&amp;IF(I14=1,IF(LOWER(J14)="d","dia","semana"),IF(LOWER(J14)="d","dias","semanas"))&amp;",","")
&amp;" por um período de "&amp;TEXT(K14,"0")&amp;" "&amp;IF(K14=1,IF(LOWER(L14)="d","dia","semana"),IF(LOWER(L14)="d","dias","semanas"))
)
)
)</f>
        <v/>
      </c>
      <c r="P14" t="inlineStr">
        <is>
          <t>A05</t>
        </is>
      </c>
      <c r="Q14" t="inlineStr">
        <is>
          <t>A05O06</t>
        </is>
      </c>
      <c r="R14" t="inlineStr">
        <is>
          <t>Ajudar idosos ou crianças quando possível</t>
        </is>
      </c>
      <c r="S14" t="n">
        <v>0.1</v>
      </c>
    </row>
    <row r="15">
      <c r="A15" s="2" t="inlineStr">
        <is>
          <t>Comunidade</t>
        </is>
      </c>
      <c r="B15" s="2" t="inlineStr">
        <is>
          <t>Desafio</t>
        </is>
      </c>
      <c r="C15" s="2" t="inlineStr">
        <is>
          <t>Mapear necessidades do bairro e sugerir ações.</t>
        </is>
      </c>
      <c r="D15" s="3" t="n">
        <v>5</v>
      </c>
      <c r="E15" s="3" t="n">
        <v>2</v>
      </c>
      <c r="F15" s="3" t="n">
        <v>4</v>
      </c>
      <c r="G15" s="2" t="n"/>
      <c r="H15" s="2" t="n"/>
      <c r="I15" s="2" t="n"/>
      <c r="J15" s="2" t="n"/>
      <c r="K15" s="2" t="n"/>
      <c r="L15" s="2" t="n"/>
      <c r="M15" s="9">
        <f>LEFT(A15,2)&amp;LEFT(B15,1)&amp;TEXT(F15,"000")&amp;"-"&amp;IF(
AND(G15="",H15="",K15="",L15=""),
"0d0d",
TEXT(G15,"0")&amp;LOWER(H15)&amp;TEXT(K15,"0")&amp;LOWER(L15)
)</f>
        <v/>
      </c>
      <c r="N15" s="9">
        <f>IF(B15="Básico",1,IF(B15="Desafio",2,IF(B15="Avançado",3)))</f>
        <v/>
      </c>
      <c r="O15" s="2">
        <f>IF(
AND(G15="",H15="",I15="",J15="",K15="",L15=""),
"Fique atento para a primeira oportunidade que surgir",
IF(AND(G15=0,LOWER(H15)="d",K15=0,LOWER(L15)="d"),
"Fique atento para a primeira oportunidade que surgir",
IF(AND(G15=1,LOWER(H15)="d",K15=1,LOWER(L15)="d"),
"Pelo menos uma vez",
IF(G15=0,"O dia inteiro",IF(G15=1,"Uma vez",TEXT(G15,"0")&amp;" vezes")&amp;" por "&amp;IF(LOWER(H15)="d","dia","semana"))
&amp;IF(AND(ISNUMBER(I15),I15&gt;0),", a cada "&amp;TEXT(I15,"0")&amp;" "&amp;IF(I15=1,IF(LOWER(J15)="d","dia","semana"),IF(LOWER(J15)="d","dias","semanas"))&amp;",","")
&amp;" por um período de "&amp;TEXT(K15,"0")&amp;" "&amp;IF(K15=1,IF(LOWER(L15)="d","dia","semana"),IF(LOWER(L15)="d","dias","semanas"))
)
)
)</f>
        <v/>
      </c>
      <c r="P15" t="inlineStr">
        <is>
          <t>A05</t>
        </is>
      </c>
      <c r="Q15" t="inlineStr">
        <is>
          <t>A05O01</t>
        </is>
      </c>
      <c r="R15" t="inlineStr">
        <is>
          <t>Participar de ações sociais ou voluntariado</t>
        </is>
      </c>
      <c r="S15" t="n">
        <v>0.125</v>
      </c>
    </row>
    <row r="16">
      <c r="A16" s="2" t="inlineStr">
        <is>
          <t>Comunidade</t>
        </is>
      </c>
      <c r="B16" s="2" t="inlineStr">
        <is>
          <t>Desafio</t>
        </is>
      </c>
      <c r="C16" s="2" t="inlineStr">
        <is>
          <t>Criar um pequeno mutirão de limpeza com amigos.</t>
        </is>
      </c>
      <c r="D16" s="3" t="n">
        <v>5</v>
      </c>
      <c r="E16" s="3" t="n">
        <v>2</v>
      </c>
      <c r="F16" s="3" t="n">
        <v>5</v>
      </c>
      <c r="G16" s="2" t="n"/>
      <c r="H16" s="2" t="n"/>
      <c r="I16" s="2" t="n"/>
      <c r="J16" s="2" t="n"/>
      <c r="K16" s="2" t="n"/>
      <c r="L16" s="2" t="n"/>
      <c r="M16" s="9">
        <f>LEFT(A16,2)&amp;LEFT(B16,1)&amp;TEXT(F16,"000")&amp;"-"&amp;IF(
AND(G16="",H16="",K16="",L16=""),
"0d0d",
TEXT(G16,"0")&amp;LOWER(H16)&amp;TEXT(K16,"0")&amp;LOWER(L16)
)</f>
        <v/>
      </c>
      <c r="N16" s="9">
        <f>IF(B16="Básico",1,IF(B16="Desafio",2,IF(B16="Avançado",3)))</f>
        <v/>
      </c>
      <c r="O16" s="2">
        <f>IF(
AND(G16="",H16="",I16="",J16="",K16="",L16=""),
"Fique atento para a primeira oportunidade que surgir",
IF(AND(G16=0,LOWER(H16)="d",K16=0,LOWER(L16)="d"),
"Fique atento para a primeira oportunidade que surgir",
IF(AND(G16=1,LOWER(H16)="d",K16=1,LOWER(L16)="d"),
"Pelo menos uma vez",
IF(G16=0,"O dia inteiro",IF(G16=1,"Uma vez",TEXT(G16,"0")&amp;" vezes")&amp;" por "&amp;IF(LOWER(H16)="d","dia","semana"))
&amp;IF(AND(ISNUMBER(I16),I16&gt;0),", a cada "&amp;TEXT(I16,"0")&amp;" "&amp;IF(I16=1,IF(LOWER(J16)="d","dia","semana"),IF(LOWER(J16)="d","dias","semanas"))&amp;",","")
&amp;" por um período de "&amp;TEXT(K16,"0")&amp;" "&amp;IF(K16=1,IF(LOWER(L16)="d","dia","semana"),IF(LOWER(L16)="d","dias","semanas"))
)
)
)</f>
        <v/>
      </c>
      <c r="P16" t="inlineStr">
        <is>
          <t>A05</t>
        </is>
      </c>
      <c r="Q16" t="inlineStr">
        <is>
          <t>A05O01</t>
        </is>
      </c>
      <c r="R16" t="inlineStr">
        <is>
          <t>Participar de ações sociais ou voluntariado</t>
        </is>
      </c>
      <c r="S16" t="n">
        <v>0</v>
      </c>
    </row>
    <row r="17">
      <c r="A17" s="2" t="inlineStr">
        <is>
          <t>Comunidade</t>
        </is>
      </c>
      <c r="B17" s="2" t="inlineStr">
        <is>
          <t>Desafio</t>
        </is>
      </c>
      <c r="C17" s="2" t="inlineStr">
        <is>
          <t>Aprender o nome de 5 trabalhadores do bairro.</t>
        </is>
      </c>
      <c r="D17" s="3" t="n">
        <v>5</v>
      </c>
      <c r="E17" s="3" t="n">
        <v>2</v>
      </c>
      <c r="F17" s="3" t="n">
        <v>6</v>
      </c>
      <c r="G17" s="2" t="n"/>
      <c r="H17" s="2" t="n"/>
      <c r="I17" s="2" t="n"/>
      <c r="J17" s="2" t="n"/>
      <c r="K17" s="2" t="n"/>
      <c r="L17" s="2" t="n"/>
      <c r="M17" s="9">
        <f>LEFT(A17,2)&amp;LEFT(B17,1)&amp;TEXT(F17,"000")&amp;"-"&amp;IF(
AND(G17="",H17="",K17="",L17=""),
"0d0d",
TEXT(G17,"0")&amp;LOWER(H17)&amp;TEXT(K17,"0")&amp;LOWER(L17)
)</f>
        <v/>
      </c>
      <c r="N17" s="9">
        <f>IF(B17="Básico",1,IF(B17="Desafio",2,IF(B17="Avançado",3)))</f>
        <v/>
      </c>
      <c r="O17" s="2">
        <f>IF(
AND(G17="",H17="",I17="",J17="",K17="",L17=""),
"Fique atento para a primeira oportunidade que surgir",
IF(AND(G17=0,LOWER(H17)="d",K17=0,LOWER(L17)="d"),
"Fique atento para a primeira oportunidade que surgir",
IF(AND(G17=1,LOWER(H17)="d",K17=1,LOWER(L17)="d"),
"Pelo menos uma vez",
IF(G17=0,"O dia inteiro",IF(G17=1,"Uma vez",TEXT(G17,"0")&amp;" vezes")&amp;" por "&amp;IF(LOWER(H17)="d","dia","semana"))
&amp;IF(AND(ISNUMBER(I17),I17&gt;0),", a cada "&amp;TEXT(I17,"0")&amp;" "&amp;IF(I17=1,IF(LOWER(J17)="d","dia","semana"),IF(LOWER(J17)="d","dias","semanas"))&amp;",","")
&amp;" por um período de "&amp;TEXT(K17,"0")&amp;" "&amp;IF(K17=1,IF(LOWER(L17)="d","dia","semana"),IF(LOWER(L17)="d","dias","semanas"))
)
)
)</f>
        <v/>
      </c>
      <c r="P17" t="inlineStr">
        <is>
          <t>A05</t>
        </is>
      </c>
      <c r="Q17" t="inlineStr">
        <is>
          <t>A05O01</t>
        </is>
      </c>
      <c r="R17" t="inlineStr">
        <is>
          <t>Participar de ações sociais ou voluntariado</t>
        </is>
      </c>
      <c r="S17" t="n">
        <v>0</v>
      </c>
    </row>
    <row r="18">
      <c r="A18" s="2" t="inlineStr">
        <is>
          <t>Comunidade</t>
        </is>
      </c>
      <c r="B18" s="2" t="inlineStr">
        <is>
          <t>Desafio</t>
        </is>
      </c>
      <c r="C18" s="2" t="inlineStr">
        <is>
          <t>Apoiar um pequeno comércio local conscientemente.</t>
        </is>
      </c>
      <c r="D18" s="3" t="n">
        <v>5</v>
      </c>
      <c r="E18" s="3" t="n">
        <v>2</v>
      </c>
      <c r="F18" s="3" t="n">
        <v>7</v>
      </c>
      <c r="G18" s="2" t="n"/>
      <c r="H18" s="2" t="n"/>
      <c r="I18" s="2" t="n"/>
      <c r="J18" s="2" t="n"/>
      <c r="K18" s="2" t="n"/>
      <c r="L18" s="2" t="n"/>
      <c r="M18" s="9">
        <f>LEFT(A18,2)&amp;LEFT(B18,1)&amp;TEXT(F18,"000")&amp;"-"&amp;IF(
AND(G18="",H18="",K18="",L18=""),
"0d0d",
TEXT(G18,"0")&amp;LOWER(H18)&amp;TEXT(K18,"0")&amp;LOWER(L18)
)</f>
        <v/>
      </c>
      <c r="N18" s="9">
        <f>IF(B18="Básico",1,IF(B18="Desafio",2,IF(B18="Avançado",3)))</f>
        <v/>
      </c>
      <c r="O18" s="2">
        <f>IF(
AND(G18="",H18="",I18="",J18="",K18="",L18=""),
"Fique atento para a primeira oportunidade que surgir",
IF(AND(G18=0,LOWER(H18)="d",K18=0,LOWER(L18)="d"),
"Fique atento para a primeira oportunidade que surgir",
IF(AND(G18=1,LOWER(H18)="d",K18=1,LOWER(L18)="d"),
"Pelo menos uma vez",
IF(G18=0,"O dia inteiro",IF(G18=1,"Uma vez",TEXT(G18,"0")&amp;" vezes")&amp;" por "&amp;IF(LOWER(H18)="d","dia","semana"))
&amp;IF(AND(ISNUMBER(I18),I18&gt;0),", a cada "&amp;TEXT(I18,"0")&amp;" "&amp;IF(I18=1,IF(LOWER(J18)="d","dia","semana"),IF(LOWER(J18)="d","dias","semanas"))&amp;",","")
&amp;" por um período de "&amp;TEXT(K18,"0")&amp;" "&amp;IF(K18=1,IF(LOWER(L18)="d","dia","semana"),IF(LOWER(L18)="d","dias","semanas"))
)
)
)</f>
        <v/>
      </c>
      <c r="P18" t="inlineStr">
        <is>
          <t>A05</t>
        </is>
      </c>
      <c r="Q18" t="inlineStr">
        <is>
          <t>A05O01</t>
        </is>
      </c>
      <c r="R18" t="inlineStr">
        <is>
          <t>Participar de ações sociais ou voluntariado</t>
        </is>
      </c>
      <c r="S18" t="n">
        <v>0</v>
      </c>
    </row>
    <row r="19">
      <c r="A19" s="2" t="inlineStr">
        <is>
          <t>Comunidade</t>
        </is>
      </c>
      <c r="B19" s="2" t="inlineStr">
        <is>
          <t>Desafio</t>
        </is>
      </c>
      <c r="C19" s="2" t="inlineStr">
        <is>
          <t>Ajudar na segurança ao atravessar crianças/idosos.</t>
        </is>
      </c>
      <c r="D19" s="3" t="n">
        <v>5</v>
      </c>
      <c r="E19" s="3" t="n">
        <v>2</v>
      </c>
      <c r="F19" s="3" t="n">
        <v>8</v>
      </c>
      <c r="G19" s="2" t="n"/>
      <c r="H19" s="2" t="n"/>
      <c r="I19" s="2" t="n"/>
      <c r="J19" s="2" t="n"/>
      <c r="K19" s="2" t="n"/>
      <c r="L19" s="2" t="n"/>
      <c r="M19" s="9">
        <f>LEFT(A19,2)&amp;LEFT(B19,1)&amp;TEXT(F19,"000")&amp;"-"&amp;IF(
AND(G19="",H19="",K19="",L19=""),
"0d0d",
TEXT(G19,"0")&amp;LOWER(H19)&amp;TEXT(K19,"0")&amp;LOWER(L19)
)</f>
        <v/>
      </c>
      <c r="N19" s="9">
        <f>IF(B19="Básico",1,IF(B19="Desafio",2,IF(B19="Avançado",3)))</f>
        <v/>
      </c>
      <c r="O19" s="2">
        <f>IF(
AND(G19="",H19="",I19="",J19="",K19="",L19=""),
"Fique atento para a primeira oportunidade que surgir",
IF(AND(G19=0,LOWER(H19)="d",K19=0,LOWER(L19)="d"),
"Fique atento para a primeira oportunidade que surgir",
IF(AND(G19=1,LOWER(H19)="d",K19=1,LOWER(L19)="d"),
"Pelo menos uma vez",
IF(G19=0,"O dia inteiro",IF(G19=1,"Uma vez",TEXT(G19,"0")&amp;" vezes")&amp;" por "&amp;IF(LOWER(H19)="d","dia","semana"))
&amp;IF(AND(ISNUMBER(I19),I19&gt;0),", a cada "&amp;TEXT(I19,"0")&amp;" "&amp;IF(I19=1,IF(LOWER(J19)="d","dia","semana"),IF(LOWER(J19)="d","dias","semanas"))&amp;",","")
&amp;" por um período de "&amp;TEXT(K19,"0")&amp;" "&amp;IF(K19=1,IF(LOWER(L19)="d","dia","semana"),IF(LOWER(L19)="d","dias","semanas"))
)
)
)</f>
        <v/>
      </c>
      <c r="P19" t="inlineStr">
        <is>
          <t>A05</t>
        </is>
      </c>
      <c r="Q19" t="inlineStr">
        <is>
          <t>A05O06</t>
        </is>
      </c>
      <c r="R19" t="inlineStr">
        <is>
          <t>Ajudar idosos ou crianças quando possível</t>
        </is>
      </c>
      <c r="S19" t="n">
        <v>0.429</v>
      </c>
    </row>
    <row r="20">
      <c r="A20" s="2" t="inlineStr">
        <is>
          <t>Comunidade</t>
        </is>
      </c>
      <c r="B20" s="2" t="inlineStr">
        <is>
          <t>Desafio</t>
        </is>
      </c>
      <c r="C20" s="2" t="inlineStr">
        <is>
          <t>Participar de reunião de moradores/representação estudantil.</t>
        </is>
      </c>
      <c r="D20" s="3" t="n">
        <v>5</v>
      </c>
      <c r="E20" s="3" t="n">
        <v>2</v>
      </c>
      <c r="F20" s="3" t="n">
        <v>9</v>
      </c>
      <c r="G20" s="2" t="n"/>
      <c r="H20" s="2" t="n"/>
      <c r="I20" s="2" t="n"/>
      <c r="J20" s="2" t="n"/>
      <c r="K20" s="2" t="n"/>
      <c r="L20" s="2" t="n"/>
      <c r="M20" s="9">
        <f>LEFT(A20,2)&amp;LEFT(B20,1)&amp;TEXT(F20,"000")&amp;"-"&amp;IF(
AND(G20="",H20="",K20="",L20=""),
"0d0d",
TEXT(G20,"0")&amp;LOWER(H20)&amp;TEXT(K20,"0")&amp;LOWER(L20)
)</f>
        <v/>
      </c>
      <c r="N20" s="9">
        <f>IF(B20="Básico",1,IF(B20="Desafio",2,IF(B20="Avançado",3)))</f>
        <v/>
      </c>
      <c r="O20" s="2">
        <f>IF(
AND(G20="",H20="",I20="",J20="",K20="",L20=""),
"Fique atento para a primeira oportunidade que surgir",
IF(AND(G20=0,LOWER(H20)="d",K20=0,LOWER(L20)="d"),
"Fique atento para a primeira oportunidade que surgir",
IF(AND(G20=1,LOWER(H20)="d",K20=1,LOWER(L20)="d"),
"Pelo menos uma vez",
IF(G20=0,"O dia inteiro",IF(G20=1,"Uma vez",TEXT(G20,"0")&amp;" vezes")&amp;" por "&amp;IF(LOWER(H20)="d","dia","semana"))
&amp;IF(AND(ISNUMBER(I20),I20&gt;0),", a cada "&amp;TEXT(I20,"0")&amp;" "&amp;IF(I20=1,IF(LOWER(J20)="d","dia","semana"),IF(LOWER(J20)="d","dias","semanas"))&amp;",","")
&amp;" por um período de "&amp;TEXT(K20,"0")&amp;" "&amp;IF(K20=1,IF(LOWER(L20)="d","dia","semana"),IF(LOWER(L20)="d","dias","semanas"))
)
)
)</f>
        <v/>
      </c>
      <c r="P20" t="inlineStr">
        <is>
          <t>A05</t>
        </is>
      </c>
      <c r="Q20" t="inlineStr">
        <is>
          <t>A05O01</t>
        </is>
      </c>
      <c r="R20" t="inlineStr">
        <is>
          <t>Participar de ações sociais ou voluntariado</t>
        </is>
      </c>
      <c r="S20" t="n">
        <v>0.125</v>
      </c>
    </row>
    <row r="21">
      <c r="A21" s="2" t="inlineStr">
        <is>
          <t>Comunidade</t>
        </is>
      </c>
      <c r="B21" s="2" t="inlineStr">
        <is>
          <t>Desafio</t>
        </is>
      </c>
      <c r="C21" s="2" t="inlineStr">
        <is>
          <t>Registrar e reportar um problema público corretamente.</t>
        </is>
      </c>
      <c r="D21" s="3" t="n">
        <v>5</v>
      </c>
      <c r="E21" s="3" t="n">
        <v>2</v>
      </c>
      <c r="F21" s="3" t="n">
        <v>10</v>
      </c>
      <c r="G21" s="2" t="n"/>
      <c r="H21" s="2" t="n"/>
      <c r="I21" s="2" t="n"/>
      <c r="J21" s="2" t="n"/>
      <c r="K21" s="2" t="n"/>
      <c r="L21" s="2" t="n"/>
      <c r="M21" s="9">
        <f>LEFT(A21,2)&amp;LEFT(B21,1)&amp;TEXT(F21,"000")&amp;"-"&amp;IF(
AND(G21="",H21="",K21="",L21=""),
"0d0d",
TEXT(G21,"0")&amp;LOWER(H21)&amp;TEXT(K21,"0")&amp;LOWER(L21)
)</f>
        <v/>
      </c>
      <c r="N21" s="9">
        <f>IF(B21="Básico",1,IF(B21="Desafio",2,IF(B21="Avançado",3)))</f>
        <v/>
      </c>
      <c r="O21" s="2">
        <f>IF(
AND(G21="",H21="",I21="",J21="",K21="",L21=""),
"Fique atento para a primeira oportunidade que surgir",
IF(AND(G21=0,LOWER(H21)="d",K21=0,LOWER(L21)="d"),
"Fique atento para a primeira oportunidade que surgir",
IF(AND(G21=1,LOWER(H21)="d",K21=1,LOWER(L21)="d"),
"Pelo menos uma vez",
IF(G21=0,"O dia inteiro",IF(G21=1,"Uma vez",TEXT(G21,"0")&amp;" vezes")&amp;" por "&amp;IF(LOWER(H21)="d","dia","semana"))
&amp;IF(AND(ISNUMBER(I21),I21&gt;0),", a cada "&amp;TEXT(I21,"0")&amp;" "&amp;IF(I21=1,IF(LOWER(J21)="d","dia","semana"),IF(LOWER(J21)="d","dias","semanas"))&amp;",","")
&amp;" por um período de "&amp;TEXT(K21,"0")&amp;" "&amp;IF(K21=1,IF(LOWER(L21)="d","dia","semana"),IF(LOWER(L21)="d","dias","semanas"))
)
)
)</f>
        <v/>
      </c>
      <c r="P21" t="inlineStr">
        <is>
          <t>A05</t>
        </is>
      </c>
      <c r="Q21" t="inlineStr">
        <is>
          <t>A05O01</t>
        </is>
      </c>
      <c r="R21" t="inlineStr">
        <is>
          <t>Participar de ações sociais ou voluntariado</t>
        </is>
      </c>
      <c r="S21" t="n">
        <v>0</v>
      </c>
    </row>
    <row r="22">
      <c r="A22" s="2" t="inlineStr">
        <is>
          <t>Comunidade</t>
        </is>
      </c>
      <c r="B22" s="2" t="inlineStr">
        <is>
          <t>Desafio</t>
        </is>
      </c>
      <c r="C22" s="2" t="inlineStr">
        <is>
          <t>Produzir um cartaz ou post de utilidade pública.</t>
        </is>
      </c>
      <c r="D22" s="3" t="n">
        <v>5</v>
      </c>
      <c r="E22" s="3" t="n">
        <v>2</v>
      </c>
      <c r="F22" s="3" t="n">
        <v>11</v>
      </c>
      <c r="G22" s="2" t="n"/>
      <c r="H22" s="2" t="n"/>
      <c r="I22" s="2" t="n"/>
      <c r="J22" s="2" t="n"/>
      <c r="K22" s="2" t="n"/>
      <c r="L22" s="2" t="n"/>
      <c r="M22" s="9">
        <f>LEFT(A22,2)&amp;LEFT(B22,1)&amp;TEXT(F22,"000")&amp;"-"&amp;IF(
AND(G22="",H22="",K22="",L22=""),
"0d0d",
TEXT(G22,"0")&amp;LOWER(H22)&amp;TEXT(K22,"0")&amp;LOWER(L22)
)</f>
        <v/>
      </c>
      <c r="N22" s="9">
        <f>IF(B22="Básico",1,IF(B22="Desafio",2,IF(B22="Avançado",3)))</f>
        <v/>
      </c>
      <c r="O22" s="2">
        <f>IF(
AND(G22="",H22="",I22="",J22="",K22="",L22=""),
"Fique atento para a primeira oportunidade que surgir",
IF(AND(G22=0,LOWER(H22)="d",K22=0,LOWER(L22)="d"),
"Fique atento para a primeira oportunidade que surgir",
IF(AND(G22=1,LOWER(H22)="d",K22=1,LOWER(L22)="d"),
"Pelo menos uma vez",
IF(G22=0,"O dia inteiro",IF(G22=1,"Uma vez",TEXT(G22,"0")&amp;" vezes")&amp;" por "&amp;IF(LOWER(H22)="d","dia","semana"))
&amp;IF(AND(ISNUMBER(I22),I22&gt;0),", a cada "&amp;TEXT(I22,"0")&amp;" "&amp;IF(I22=1,IF(LOWER(J22)="d","dia","semana"),IF(LOWER(J22)="d","dias","semanas"))&amp;",","")
&amp;" por um período de "&amp;TEXT(K22,"0")&amp;" "&amp;IF(K22=1,IF(LOWER(L22)="d","dia","semana"),IF(LOWER(L22)="d","dias","semanas"))
)
)
)</f>
        <v/>
      </c>
      <c r="P22" t="inlineStr">
        <is>
          <t>A05</t>
        </is>
      </c>
      <c r="Q22" t="inlineStr">
        <is>
          <t>A05O04</t>
        </is>
      </c>
      <c r="R22" t="inlineStr">
        <is>
          <t>Cumprir regras e responsabilidades públicas</t>
        </is>
      </c>
      <c r="S22" t="n">
        <v>0.125</v>
      </c>
    </row>
    <row r="23">
      <c r="A23" s="2" t="inlineStr">
        <is>
          <t>Comunidade</t>
        </is>
      </c>
      <c r="B23" s="2" t="inlineStr">
        <is>
          <t>Desafio</t>
        </is>
      </c>
      <c r="C23" s="2" t="inlineStr">
        <is>
          <t>Praticar gentilezas diárias por 7 dias seguidos.</t>
        </is>
      </c>
      <c r="D23" s="3" t="n">
        <v>5</v>
      </c>
      <c r="E23" s="3" t="n">
        <v>2</v>
      </c>
      <c r="F23" s="3" t="n">
        <v>12</v>
      </c>
      <c r="G23" s="2" t="n">
        <v>1</v>
      </c>
      <c r="H23" s="2" t="inlineStr">
        <is>
          <t>d</t>
        </is>
      </c>
      <c r="I23" s="2" t="n"/>
      <c r="J23" s="2" t="n"/>
      <c r="K23" s="2" t="n">
        <v>7</v>
      </c>
      <c r="L23" s="2" t="inlineStr">
        <is>
          <t>d</t>
        </is>
      </c>
      <c r="M23" s="9">
        <f>LEFT(A23,2)&amp;LEFT(B23,1)&amp;TEXT(F23,"000")&amp;"-"&amp;IF(
AND(G23="",H23="",K23="",L23=""),
"0d0d",
TEXT(G23,"0")&amp;LOWER(H23)&amp;TEXT(K23,"0")&amp;LOWER(L23)
)</f>
        <v/>
      </c>
      <c r="N23" s="9">
        <f>IF(B23="Básico",1,IF(B23="Desafio",2,IF(B23="Avançado",3)))</f>
        <v/>
      </c>
      <c r="O23" s="2">
        <f>IF(
AND(G23="",H23="",I23="",J23="",K23="",L23=""),
"Fique atento para a primeira oportunidade que surgir",
IF(AND(G23=0,LOWER(H23)="d",K23=0,LOWER(L23)="d"),
"Fique atento para a primeira oportunidade que surgir",
IF(AND(G23=1,LOWER(H23)="d",K23=1,LOWER(L23)="d"),
"Pelo menos uma vez",
IF(G23=0,"O dia inteiro",IF(G23=1,"Uma vez",TEXT(G23,"0")&amp;" vezes")&amp;" por "&amp;IF(LOWER(H23)="d","dia","semana"))
&amp;IF(AND(ISNUMBER(I23),I23&gt;0),", a cada "&amp;TEXT(I23,"0")&amp;" "&amp;IF(I23=1,IF(LOWER(J23)="d","dia","semana"),IF(LOWER(J23)="d","dias","semanas"))&amp;",","")
&amp;" por um período de "&amp;TEXT(K23,"0")&amp;" "&amp;IF(K23=1,IF(LOWER(L23)="d","dia","semana"),IF(LOWER(L23)="d","dias","semanas"))
)
)
)</f>
        <v/>
      </c>
      <c r="P23" t="inlineStr">
        <is>
          <t>A05</t>
        </is>
      </c>
      <c r="Q23" t="inlineStr">
        <is>
          <t>A05O01</t>
        </is>
      </c>
      <c r="R23" t="inlineStr">
        <is>
          <t>Participar de ações sociais ou voluntariado</t>
        </is>
      </c>
      <c r="S23" t="n">
        <v>0</v>
      </c>
    </row>
    <row r="24">
      <c r="A24" s="2" t="inlineStr">
        <is>
          <t>Comunidade</t>
        </is>
      </c>
      <c r="B24" s="2" t="inlineStr">
        <is>
          <t>Avançado</t>
        </is>
      </c>
      <c r="C24" s="2" t="inlineStr">
        <is>
          <t>Propor e liderar mutirão de limpeza por 3 semanas.</t>
        </is>
      </c>
      <c r="D24" s="3" t="n">
        <v>5</v>
      </c>
      <c r="E24" s="3" t="n">
        <v>3</v>
      </c>
      <c r="F24" s="3" t="n">
        <v>1</v>
      </c>
      <c r="G24" s="2" t="n">
        <v>1</v>
      </c>
      <c r="H24" s="2" t="inlineStr">
        <is>
          <t>d</t>
        </is>
      </c>
      <c r="I24" s="2" t="n">
        <v>7</v>
      </c>
      <c r="J24" s="2" t="inlineStr">
        <is>
          <t>d</t>
        </is>
      </c>
      <c r="K24" s="2" t="n">
        <v>21</v>
      </c>
      <c r="L24" s="2" t="inlineStr">
        <is>
          <t>d</t>
        </is>
      </c>
      <c r="M24" s="9">
        <f>LEFT(A24,2)&amp;LEFT(B24,1)&amp;TEXT(F24,"000")&amp;"-"&amp;IF(
AND(G24="",H24="",K24="",L24=""),
"0d0d",
TEXT(G24,"0")&amp;LOWER(H24)&amp;TEXT(K24,"0")&amp;LOWER(L24)
)</f>
        <v/>
      </c>
      <c r="N24" s="9">
        <f>IF(B24="Básico",1,IF(B24="Desafio",2,IF(B24="Avançado",3)))</f>
        <v/>
      </c>
      <c r="O24" s="2">
        <f>IF(
AND(G24="",H24="",I24="",J24="",K24="",L24=""),
"Fique atento para a primeira oportunidade que surgir",
IF(AND(G24=0,LOWER(H24)="d",K24=0,LOWER(L24)="d"),
"Fique atento para a primeira oportunidade que surgir",
IF(AND(G24=1,LOWER(H24)="d",K24=1,LOWER(L24)="d"),
"Pelo menos uma vez",
IF(G24=0,"O dia inteiro",IF(G24=1,"Uma vez",TEXT(G24,"0")&amp;" vezes")&amp;" por "&amp;IF(LOWER(H24)="d","dia","semana"))
&amp;IF(AND(ISNUMBER(I24),I24&gt;0),", a cada "&amp;TEXT(I24,"0")&amp;" "&amp;IF(I24=1,IF(LOWER(J24)="d","dia","semana"),IF(LOWER(J24)="d","dias","semanas"))&amp;",","")
&amp;" por um período de "&amp;TEXT(K24,"0")&amp;" "&amp;IF(K24=1,IF(LOWER(L24)="d","dia","semana"),IF(LOWER(L24)="d","dias","semanas"))
)
)
)</f>
        <v/>
      </c>
      <c r="P24" t="inlineStr">
        <is>
          <t>A05</t>
        </is>
      </c>
      <c r="Q24" t="inlineStr">
        <is>
          <t>A05O01</t>
        </is>
      </c>
      <c r="R24" t="inlineStr">
        <is>
          <t>Participar de ações sociais ou voluntariado</t>
        </is>
      </c>
      <c r="S24" t="n">
        <v>0</v>
      </c>
    </row>
    <row r="25">
      <c r="A25" s="2" t="inlineStr">
        <is>
          <t>Comunidade</t>
        </is>
      </c>
      <c r="B25" s="2" t="inlineStr">
        <is>
          <t>Avançado</t>
        </is>
      </c>
      <c r="C25" s="2" t="inlineStr">
        <is>
          <t>Criar e executar campanha de doação com metas e prestação de contas.</t>
        </is>
      </c>
      <c r="D25" s="3" t="n">
        <v>5</v>
      </c>
      <c r="E25" s="3" t="n">
        <v>3</v>
      </c>
      <c r="F25" s="3" t="n">
        <v>2</v>
      </c>
      <c r="G25" s="2" t="n">
        <v>1</v>
      </c>
      <c r="H25" s="2" t="inlineStr">
        <is>
          <t>d</t>
        </is>
      </c>
      <c r="I25" s="2" t="n"/>
      <c r="J25" s="2" t="n"/>
      <c r="K25" s="2" t="n">
        <v>30</v>
      </c>
      <c r="L25" s="2" t="inlineStr">
        <is>
          <t>d</t>
        </is>
      </c>
      <c r="M25" s="9">
        <f>LEFT(A25,2)&amp;LEFT(B25,1)&amp;TEXT(F25,"000")&amp;"-"&amp;IF(
AND(G25="",H25="",K25="",L25=""),
"0d0d",
TEXT(G25,"0")&amp;LOWER(H25)&amp;TEXT(K25,"0")&amp;LOWER(L25)
)</f>
        <v/>
      </c>
      <c r="N25" s="9">
        <f>IF(B25="Básico",1,IF(B25="Desafio",2,IF(B25="Avançado",3)))</f>
        <v/>
      </c>
      <c r="O25" s="2">
        <f>IF(
AND(G25="",H25="",I25="",J25="",K25="",L25=""),
"Fique atento para a primeira oportunidade que surgir",
IF(AND(G25=0,LOWER(H25)="d",K25=0,LOWER(L25)="d"),
"Fique atento para a primeira oportunidade que surgir",
IF(AND(G25=1,LOWER(H25)="d",K25=1,LOWER(L25)="d"),
"Pelo menos uma vez",
IF(G25=0,"O dia inteiro",IF(G25=1,"Uma vez",TEXT(G25,"0")&amp;" vezes")&amp;" por "&amp;IF(LOWER(H25)="d","dia","semana"))
&amp;IF(AND(ISNUMBER(I25),I25&gt;0),", a cada "&amp;TEXT(I25,"0")&amp;" "&amp;IF(I25=1,IF(LOWER(J25)="d","dia","semana"),IF(LOWER(J25)="d","dias","semanas"))&amp;",","")
&amp;" por um período de "&amp;TEXT(K25,"0")&amp;" "&amp;IF(K25=1,IF(LOWER(L25)="d","dia","semana"),IF(LOWER(L25)="d","dias","semanas"))
)
)
)</f>
        <v/>
      </c>
      <c r="P25" t="inlineStr">
        <is>
          <t>A05</t>
        </is>
      </c>
      <c r="Q25" t="inlineStr">
        <is>
          <t>A05O01</t>
        </is>
      </c>
      <c r="R25" t="inlineStr">
        <is>
          <t>Participar de ações sociais ou voluntariado</t>
        </is>
      </c>
      <c r="S25" t="n">
        <v>0</v>
      </c>
    </row>
    <row r="26">
      <c r="A26" s="2" t="inlineStr">
        <is>
          <t>Comunidade</t>
        </is>
      </c>
      <c r="B26" s="2" t="inlineStr">
        <is>
          <t>Avançado</t>
        </is>
      </c>
      <c r="C26" s="2" t="inlineStr">
        <is>
          <t>Articular parceria com comércio local para benefício social.</t>
        </is>
      </c>
      <c r="D26" s="3" t="n">
        <v>5</v>
      </c>
      <c r="E26" s="3" t="n">
        <v>3</v>
      </c>
      <c r="F26" s="3" t="n">
        <v>3</v>
      </c>
      <c r="G26" s="2" t="n">
        <v>1</v>
      </c>
      <c r="H26" s="2" t="inlineStr">
        <is>
          <t>d</t>
        </is>
      </c>
      <c r="I26" s="2" t="n"/>
      <c r="J26" s="2" t="n"/>
      <c r="K26" s="2" t="n">
        <v>1</v>
      </c>
      <c r="L26" s="2" t="inlineStr">
        <is>
          <t>d</t>
        </is>
      </c>
      <c r="M26" s="9">
        <f>LEFT(A26,2)&amp;LEFT(B26,1)&amp;TEXT(F26,"000")&amp;"-"&amp;IF(
AND(G26="",H26="",K26="",L26=""),
"0d0d",
TEXT(G26,"0")&amp;LOWER(H26)&amp;TEXT(K26,"0")&amp;LOWER(L26)
)</f>
        <v/>
      </c>
      <c r="N26" s="9">
        <f>IF(B26="Básico",1,IF(B26="Desafio",2,IF(B26="Avançado",3)))</f>
        <v/>
      </c>
      <c r="O26" s="2">
        <f>IF(
AND(G26="",H26="",I26="",J26="",K26="",L26=""),
"Fique atento para a primeira oportunidade que surgir",
IF(AND(G26=0,LOWER(H26)="d",K26=0,LOWER(L26)="d"),
"Fique atento para a primeira oportunidade que surgir",
IF(AND(G26=1,LOWER(H26)="d",K26=1,LOWER(L26)="d"),
"Pelo menos uma vez",
IF(G26=0,"O dia inteiro",IF(G26=1,"Uma vez",TEXT(G26,"0")&amp;" vezes")&amp;" por "&amp;IF(LOWER(H26)="d","dia","semana"))
&amp;IF(AND(ISNUMBER(I26),I26&gt;0),", a cada "&amp;TEXT(I26,"0")&amp;" "&amp;IF(I26=1,IF(LOWER(J26)="d","dia","semana"),IF(LOWER(J26)="d","dias","semanas"))&amp;",","")
&amp;" por um período de "&amp;TEXT(K26,"0")&amp;" "&amp;IF(K26=1,IF(LOWER(L26)="d","dia","semana"),IF(LOWER(L26)="d","dias","semanas"))
)
)
)</f>
        <v/>
      </c>
      <c r="P26" t="inlineStr">
        <is>
          <t>A05</t>
        </is>
      </c>
      <c r="Q26" t="inlineStr">
        <is>
          <t>A05O01</t>
        </is>
      </c>
      <c r="R26" t="inlineStr">
        <is>
          <t>Participar de ações sociais ou voluntariado</t>
        </is>
      </c>
      <c r="S26" t="n">
        <v>0</v>
      </c>
    </row>
    <row r="27">
      <c r="A27" s="2" t="inlineStr">
        <is>
          <t>Comunidade</t>
        </is>
      </c>
      <c r="B27" s="2" t="inlineStr">
        <is>
          <t>Avançado</t>
        </is>
      </c>
      <c r="C27" s="2" t="inlineStr">
        <is>
          <t>Organizar aula/oficina gratuita (tema que domino).</t>
        </is>
      </c>
      <c r="D27" s="3" t="n">
        <v>5</v>
      </c>
      <c r="E27" s="3" t="n">
        <v>3</v>
      </c>
      <c r="F27" s="3" t="n">
        <v>4</v>
      </c>
      <c r="G27" s="2" t="n">
        <v>1</v>
      </c>
      <c r="H27" s="2" t="inlineStr">
        <is>
          <t>d</t>
        </is>
      </c>
      <c r="I27" s="2" t="n">
        <v>7</v>
      </c>
      <c r="J27" s="2" t="inlineStr">
        <is>
          <t>d</t>
        </is>
      </c>
      <c r="K27" s="2" t="n">
        <v>30</v>
      </c>
      <c r="L27" s="2" t="inlineStr">
        <is>
          <t>d</t>
        </is>
      </c>
      <c r="M27" s="9">
        <f>LEFT(A27,2)&amp;LEFT(B27,1)&amp;TEXT(F27,"000")&amp;"-"&amp;IF(
AND(G27="",H27="",K27="",L27=""),
"0d0d",
TEXT(G27,"0")&amp;LOWER(H27)&amp;TEXT(K27,"0")&amp;LOWER(L27)
)</f>
        <v/>
      </c>
      <c r="N27" s="9">
        <f>IF(B27="Básico",1,IF(B27="Desafio",2,IF(B27="Avançado",3)))</f>
        <v/>
      </c>
      <c r="O27" s="2">
        <f>IF(
AND(G27="",H27="",I27="",J27="",K27="",L27=""),
"Fique atento para a primeira oportunidade que surgir",
IF(AND(G27=0,LOWER(H27)="d",K27=0,LOWER(L27)="d"),
"Fique atento para a primeira oportunidade que surgir",
IF(AND(G27=1,LOWER(H27)="d",K27=1,LOWER(L27)="d"),
"Pelo menos uma vez",
IF(G27=0,"O dia inteiro",IF(G27=1,"Uma vez",TEXT(G27,"0")&amp;" vezes")&amp;" por "&amp;IF(LOWER(H27)="d","dia","semana"))
&amp;IF(AND(ISNUMBER(I27),I27&gt;0),", a cada "&amp;TEXT(I27,"0")&amp;" "&amp;IF(I27=1,IF(LOWER(J27)="d","dia","semana"),IF(LOWER(J27)="d","dias","semanas"))&amp;",","")
&amp;" por um período de "&amp;TEXT(K27,"0")&amp;" "&amp;IF(K27=1,IF(LOWER(L27)="d","dia","semana"),IF(LOWER(L27)="d","dias","semanas"))
)
)
)</f>
        <v/>
      </c>
      <c r="P27" t="inlineStr">
        <is>
          <t>A05</t>
        </is>
      </c>
      <c r="Q27" t="inlineStr">
        <is>
          <t>A05O01</t>
        </is>
      </c>
      <c r="R27" t="inlineStr">
        <is>
          <t>Participar de ações sociais ou voluntariado</t>
        </is>
      </c>
      <c r="S27" t="n">
        <v>0</v>
      </c>
    </row>
    <row r="28">
      <c r="A28" s="2" t="inlineStr">
        <is>
          <t>Comunidade</t>
        </is>
      </c>
      <c r="B28" s="2" t="inlineStr">
        <is>
          <t>Avançado</t>
        </is>
      </c>
      <c r="C28" s="2" t="inlineStr">
        <is>
          <t>Criar projeto de segurança viária local com mapeamento de riscos.</t>
        </is>
      </c>
      <c r="D28" s="3" t="n">
        <v>5</v>
      </c>
      <c r="E28" s="3" t="n">
        <v>3</v>
      </c>
      <c r="F28" s="3" t="n">
        <v>5</v>
      </c>
      <c r="G28" s="2" t="n">
        <v>1</v>
      </c>
      <c r="H28" s="2" t="inlineStr">
        <is>
          <t>d</t>
        </is>
      </c>
      <c r="I28" s="2" t="n"/>
      <c r="J28" s="2" t="n"/>
      <c r="K28" s="2" t="n">
        <v>1</v>
      </c>
      <c r="L28" s="2" t="inlineStr">
        <is>
          <t>d</t>
        </is>
      </c>
      <c r="M28" s="9">
        <f>LEFT(A28,2)&amp;LEFT(B28,1)&amp;TEXT(F28,"000")&amp;"-"&amp;IF(
AND(G28="",H28="",K28="",L28=""),
"0d0d",
TEXT(G28,"0")&amp;LOWER(H28)&amp;TEXT(K28,"0")&amp;LOWER(L28)
)</f>
        <v/>
      </c>
      <c r="N28" s="9">
        <f>IF(B28="Básico",1,IF(B28="Desafio",2,IF(B28="Avançado",3)))</f>
        <v/>
      </c>
      <c r="O28" s="2">
        <f>IF(
AND(G28="",H28="",I28="",J28="",K28="",L28=""),
"Fique atento para a primeira oportunidade que surgir",
IF(AND(G28=0,LOWER(H28)="d",K28=0,LOWER(L28)="d"),
"Fique atento para a primeira oportunidade que surgir",
IF(AND(G28=1,LOWER(H28)="d",K28=1,LOWER(L28)="d"),
"Pelo menos uma vez",
IF(G28=0,"O dia inteiro",IF(G28=1,"Uma vez",TEXT(G28,"0")&amp;" vezes")&amp;" por "&amp;IF(LOWER(H28)="d","dia","semana"))
&amp;IF(AND(ISNUMBER(I28),I28&gt;0),", a cada "&amp;TEXT(I28,"0")&amp;" "&amp;IF(I28=1,IF(LOWER(J28)="d","dia","semana"),IF(LOWER(J28)="d","dias","semanas"))&amp;",","")
&amp;" por um período de "&amp;TEXT(K28,"0")&amp;" "&amp;IF(K28=1,IF(LOWER(L28)="d","dia","semana"),IF(LOWER(L28)="d","dias","semanas"))
)
)
)</f>
        <v/>
      </c>
      <c r="P28" t="inlineStr">
        <is>
          <t>A05</t>
        </is>
      </c>
      <c r="Q28" t="inlineStr">
        <is>
          <t>A05O01</t>
        </is>
      </c>
      <c r="R28" t="inlineStr">
        <is>
          <t>Participar de ações sociais ou voluntariado</t>
        </is>
      </c>
      <c r="S28" t="n">
        <v>0</v>
      </c>
    </row>
    <row r="29">
      <c r="A29" s="2" t="inlineStr">
        <is>
          <t>Comunidade</t>
        </is>
      </c>
      <c r="B29" s="2" t="inlineStr">
        <is>
          <t>Avançado</t>
        </is>
      </c>
      <c r="C29" s="2" t="inlineStr">
        <is>
          <t>Escrever carta formal à prefeitura com sugestões fundamentadas.</t>
        </is>
      </c>
      <c r="D29" s="3" t="n">
        <v>5</v>
      </c>
      <c r="E29" s="3" t="n">
        <v>3</v>
      </c>
      <c r="F29" s="3" t="n">
        <v>6</v>
      </c>
      <c r="G29" s="2" t="n">
        <v>1</v>
      </c>
      <c r="H29" s="2" t="inlineStr">
        <is>
          <t>d</t>
        </is>
      </c>
      <c r="I29" s="2" t="n"/>
      <c r="J29" s="2" t="n"/>
      <c r="K29" s="2" t="n">
        <v>1</v>
      </c>
      <c r="L29" s="2" t="inlineStr">
        <is>
          <t>d</t>
        </is>
      </c>
      <c r="M29" s="9">
        <f>LEFT(A29,2)&amp;LEFT(B29,1)&amp;TEXT(F29,"000")&amp;"-"&amp;IF(
AND(G29="",H29="",K29="",L29=""),
"0d0d",
TEXT(G29,"0")&amp;LOWER(H29)&amp;TEXT(K29,"0")&amp;LOWER(L29)
)</f>
        <v/>
      </c>
      <c r="N29" s="9">
        <f>IF(B29="Básico",1,IF(B29="Desafio",2,IF(B29="Avançado",3)))</f>
        <v/>
      </c>
      <c r="O29" s="2">
        <f>IF(
AND(G29="",H29="",I29="",J29="",K29="",L29=""),
"Fique atento para a primeira oportunidade que surgir",
IF(AND(G29=0,LOWER(H29)="d",K29=0,LOWER(L29)="d"),
"Fique atento para a primeira oportunidade que surgir",
IF(AND(G29=1,LOWER(H29)="d",K29=1,LOWER(L29)="d"),
"Pelo menos uma vez",
IF(G29=0,"O dia inteiro",IF(G29=1,"Uma vez",TEXT(G29,"0")&amp;" vezes")&amp;" por "&amp;IF(LOWER(H29)="d","dia","semana"))
&amp;IF(AND(ISNUMBER(I29),I29&gt;0),", a cada "&amp;TEXT(I29,"0")&amp;" "&amp;IF(I29=1,IF(LOWER(J29)="d","dia","semana"),IF(LOWER(J29)="d","dias","semanas"))&amp;",","")
&amp;" por um período de "&amp;TEXT(K29,"0")&amp;" "&amp;IF(K29=1,IF(LOWER(L29)="d","dia","semana"),IF(LOWER(L29)="d","dias","semanas"))
)
)
)</f>
        <v/>
      </c>
      <c r="P29" t="inlineStr">
        <is>
          <t>A05</t>
        </is>
      </c>
      <c r="Q29" t="inlineStr">
        <is>
          <t>A05O01</t>
        </is>
      </c>
      <c r="R29" t="inlineStr">
        <is>
          <t>Participar de ações sociais ou voluntariado</t>
        </is>
      </c>
      <c r="S29" t="n">
        <v>0</v>
      </c>
    </row>
    <row r="30">
      <c r="A30" s="2" t="inlineStr">
        <is>
          <t>Comunidade</t>
        </is>
      </c>
      <c r="B30" s="2" t="inlineStr">
        <is>
          <t>Avançado</t>
        </is>
      </c>
      <c r="C30" s="2" t="inlineStr">
        <is>
          <t>Formar rede de apoio a idosos/crianças com cronograma.</t>
        </is>
      </c>
      <c r="D30" s="3" t="n">
        <v>5</v>
      </c>
      <c r="E30" s="3" t="n">
        <v>3</v>
      </c>
      <c r="F30" s="3" t="n">
        <v>7</v>
      </c>
      <c r="G30" s="2" t="n">
        <v>1</v>
      </c>
      <c r="H30" s="2" t="inlineStr">
        <is>
          <t>d</t>
        </is>
      </c>
      <c r="I30" s="2" t="n"/>
      <c r="J30" s="2" t="n"/>
      <c r="K30" s="2" t="n">
        <v>30</v>
      </c>
      <c r="L30" s="2" t="inlineStr">
        <is>
          <t>d</t>
        </is>
      </c>
      <c r="M30" s="9">
        <f>LEFT(A30,2)&amp;LEFT(B30,1)&amp;TEXT(F30,"000")&amp;"-"&amp;IF(
AND(G30="",H30="",K30="",L30=""),
"0d0d",
TEXT(G30,"0")&amp;LOWER(H30)&amp;TEXT(K30,"0")&amp;LOWER(L30)
)</f>
        <v/>
      </c>
      <c r="N30" s="9">
        <f>IF(B30="Básico",1,IF(B30="Desafio",2,IF(B30="Avançado",3)))</f>
        <v/>
      </c>
      <c r="O30" s="2">
        <f>IF(
AND(G30="",H30="",I30="",J30="",K30="",L30=""),
"Fique atento para a primeira oportunidade que surgir",
IF(AND(G30=0,LOWER(H30)="d",K30=0,LOWER(L30)="d"),
"Fique atento para a primeira oportunidade que surgir",
IF(AND(G30=1,LOWER(H30)="d",K30=1,LOWER(L30)="d"),
"Pelo menos uma vez",
IF(G30=0,"O dia inteiro",IF(G30=1,"Uma vez",TEXT(G30,"0")&amp;" vezes")&amp;" por "&amp;IF(LOWER(H30)="d","dia","semana"))
&amp;IF(AND(ISNUMBER(I30),I30&gt;0),", a cada "&amp;TEXT(I30,"0")&amp;" "&amp;IF(I30=1,IF(LOWER(J30)="d","dia","semana"),IF(LOWER(J30)="d","dias","semanas"))&amp;",","")
&amp;" por um período de "&amp;TEXT(K30,"0")&amp;" "&amp;IF(K30=1,IF(LOWER(L30)="d","dia","semana"),IF(LOWER(L30)="d","dias","semanas"))
)
)
)</f>
        <v/>
      </c>
      <c r="P30" t="inlineStr">
        <is>
          <t>A05</t>
        </is>
      </c>
      <c r="Q30" t="inlineStr">
        <is>
          <t>A05O06</t>
        </is>
      </c>
      <c r="R30" t="inlineStr">
        <is>
          <t>Ajudar idosos ou crianças quando possível</t>
        </is>
      </c>
      <c r="S30" t="n">
        <v>0.222</v>
      </c>
    </row>
    <row r="31">
      <c r="A31" s="2" t="inlineStr">
        <is>
          <t>Comunidade</t>
        </is>
      </c>
      <c r="B31" s="2" t="inlineStr">
        <is>
          <t>Avançado</t>
        </is>
      </c>
      <c r="C31" s="2" t="inlineStr">
        <is>
          <t>Implantar ponto fixo de coleta de recicláveis em parceria.</t>
        </is>
      </c>
      <c r="D31" s="3" t="n">
        <v>5</v>
      </c>
      <c r="E31" s="3" t="n">
        <v>3</v>
      </c>
      <c r="F31" s="3" t="n">
        <v>8</v>
      </c>
      <c r="G31" s="2" t="n">
        <v>1</v>
      </c>
      <c r="H31" s="2" t="inlineStr">
        <is>
          <t>d</t>
        </is>
      </c>
      <c r="I31" s="2" t="n"/>
      <c r="J31" s="2" t="n"/>
      <c r="K31" s="2" t="n">
        <v>1</v>
      </c>
      <c r="L31" s="2" t="inlineStr">
        <is>
          <t>d</t>
        </is>
      </c>
      <c r="M31" s="9">
        <f>LEFT(A31,2)&amp;LEFT(B31,1)&amp;TEXT(F31,"000")&amp;"-"&amp;IF(
AND(G31="",H31="",K31="",L31=""),
"0d0d",
TEXT(G31,"0")&amp;LOWER(H31)&amp;TEXT(K31,"0")&amp;LOWER(L31)
)</f>
        <v/>
      </c>
      <c r="N31" s="9">
        <f>IF(B31="Básico",1,IF(B31="Desafio",2,IF(B31="Avançado",3)))</f>
        <v/>
      </c>
      <c r="O31" s="2">
        <f>IF(
AND(G31="",H31="",I31="",J31="",K31="",L31=""),
"Fique atento para a primeira oportunidade que surgir",
IF(AND(G31=0,LOWER(H31)="d",K31=0,LOWER(L31)="d"),
"Fique atento para a primeira oportunidade que surgir",
IF(AND(G31=1,LOWER(H31)="d",K31=1,LOWER(L31)="d"),
"Pelo menos uma vez",
IF(G31=0,"O dia inteiro",IF(G31=1,"Uma vez",TEXT(G31,"0")&amp;" vezes")&amp;" por "&amp;IF(LOWER(H31)="d","dia","semana"))
&amp;IF(AND(ISNUMBER(I31),I31&gt;0),", a cada "&amp;TEXT(I31,"0")&amp;" "&amp;IF(I31=1,IF(LOWER(J31)="d","dia","semana"),IF(LOWER(J31)="d","dias","semanas"))&amp;",","")
&amp;" por um período de "&amp;TEXT(K31,"0")&amp;" "&amp;IF(K31=1,IF(LOWER(L31)="d","dia","semana"),IF(LOWER(L31)="d","dias","semanas"))
)
)
)</f>
        <v/>
      </c>
      <c r="P31" t="inlineStr">
        <is>
          <t>A05</t>
        </is>
      </c>
      <c r="Q31" t="inlineStr">
        <is>
          <t>A05O01</t>
        </is>
      </c>
      <c r="R31" t="inlineStr">
        <is>
          <t>Participar de ações sociais ou voluntariado</t>
        </is>
      </c>
      <c r="S31" t="n">
        <v>0</v>
      </c>
    </row>
    <row r="32">
      <c r="A32" s="2" t="inlineStr">
        <is>
          <t>Comunidade</t>
        </is>
      </c>
      <c r="B32" s="2" t="inlineStr">
        <is>
          <t>Avançado</t>
        </is>
      </c>
      <c r="C32" s="2" t="inlineStr">
        <is>
          <t>Produzir guia local (serviços úteis) e distribuir digitalmente.</t>
        </is>
      </c>
      <c r="D32" s="3" t="n">
        <v>5</v>
      </c>
      <c r="E32" s="3" t="n">
        <v>3</v>
      </c>
      <c r="F32" s="3" t="n">
        <v>9</v>
      </c>
      <c r="G32" s="2" t="n">
        <v>1</v>
      </c>
      <c r="H32" s="2" t="inlineStr">
        <is>
          <t>d</t>
        </is>
      </c>
      <c r="I32" s="2" t="n"/>
      <c r="J32" s="2" t="n"/>
      <c r="K32" s="2" t="n">
        <v>1</v>
      </c>
      <c r="L32" s="2" t="inlineStr">
        <is>
          <t>d</t>
        </is>
      </c>
      <c r="M32" s="9">
        <f>LEFT(A32,2)&amp;LEFT(B32,1)&amp;TEXT(F32,"000")&amp;"-"&amp;IF(
AND(G32="",H32="",K32="",L32=""),
"0d0d",
TEXT(G32,"0")&amp;LOWER(H32)&amp;TEXT(K32,"0")&amp;LOWER(L32)
)</f>
        <v/>
      </c>
      <c r="N32" s="9">
        <f>IF(B32="Básico",1,IF(B32="Desafio",2,IF(B32="Avançado",3)))</f>
        <v/>
      </c>
      <c r="O32" s="2">
        <f>IF(
AND(G32="",H32="",I32="",J32="",K32="",L32=""),
"Fique atento para a primeira oportunidade que surgir",
IF(AND(G32=0,LOWER(H32)="d",K32=0,LOWER(L32)="d"),
"Fique atento para a primeira oportunidade que surgir",
IF(AND(G32=1,LOWER(H32)="d",K32=1,LOWER(L32)="d"),
"Pelo menos uma vez",
IF(G32=0,"O dia inteiro",IF(G32=1,"Uma vez",TEXT(G32,"0")&amp;" vezes")&amp;" por "&amp;IF(LOWER(H32)="d","dia","semana"))
&amp;IF(AND(ISNUMBER(I32),I32&gt;0),", a cada "&amp;TEXT(I32,"0")&amp;" "&amp;IF(I32=1,IF(LOWER(J32)="d","dia","semana"),IF(LOWER(J32)="d","dias","semanas"))&amp;",","")
&amp;" por um período de "&amp;TEXT(K32,"0")&amp;" "&amp;IF(K32=1,IF(LOWER(L32)="d","dia","semana"),IF(LOWER(L32)="d","dias","semanas"))
)
)
)</f>
        <v/>
      </c>
      <c r="P32" t="inlineStr">
        <is>
          <t>A05</t>
        </is>
      </c>
      <c r="Q32" t="inlineStr">
        <is>
          <t>A05O01</t>
        </is>
      </c>
      <c r="R32" t="inlineStr">
        <is>
          <t>Participar de ações sociais ou voluntariado</t>
        </is>
      </c>
      <c r="S32" t="n">
        <v>0</v>
      </c>
    </row>
    <row r="33">
      <c r="A33" s="2" t="inlineStr">
        <is>
          <t>Comunidade</t>
        </is>
      </c>
      <c r="B33" s="2" t="inlineStr">
        <is>
          <t>Avançado</t>
        </is>
      </c>
      <c r="C33" s="2" t="inlineStr">
        <is>
          <t>Criar boletim comunitário mensal com atualizações.</t>
        </is>
      </c>
      <c r="D33" s="3" t="n">
        <v>5</v>
      </c>
      <c r="E33" s="3" t="n">
        <v>3</v>
      </c>
      <c r="F33" s="3" t="n">
        <v>10</v>
      </c>
      <c r="G33" s="2" t="n">
        <v>1</v>
      </c>
      <c r="H33" s="2" t="inlineStr">
        <is>
          <t>d</t>
        </is>
      </c>
      <c r="I33" s="2" t="n">
        <v>30</v>
      </c>
      <c r="J33" s="2" t="inlineStr">
        <is>
          <t>d</t>
        </is>
      </c>
      <c r="K33" s="2" t="n">
        <v>90</v>
      </c>
      <c r="L33" s="2" t="inlineStr">
        <is>
          <t>d</t>
        </is>
      </c>
      <c r="M33" s="9">
        <f>LEFT(A33,2)&amp;LEFT(B33,1)&amp;TEXT(F33,"000")&amp;"-"&amp;IF(
AND(G33="",H33="",K33="",L33=""),
"0d0d",
TEXT(G33,"0")&amp;LOWER(H33)&amp;TEXT(K33,"0")&amp;LOWER(L33)
)</f>
        <v/>
      </c>
      <c r="N33" s="9">
        <f>IF(B33="Básico",1,IF(B33="Desafio",2,IF(B33="Avançado",3)))</f>
        <v/>
      </c>
      <c r="O33" s="2">
        <f>IF(
AND(G33="",H33="",I33="",J33="",K33="",L33=""),
"Fique atento para a primeira oportunidade que surgir",
IF(AND(G33=0,LOWER(H33)="d",K33=0,LOWER(L33)="d"),
"Fique atento para a primeira oportunidade que surgir",
IF(AND(G33=1,LOWER(H33)="d",K33=1,LOWER(L33)="d"),
"Pelo menos uma vez",
IF(G33=0,"O dia inteiro",IF(G33=1,"Uma vez",TEXT(G33,"0")&amp;" vezes")&amp;" por "&amp;IF(LOWER(H33)="d","dia","semana"))
&amp;IF(AND(ISNUMBER(I33),I33&gt;0),", a cada "&amp;TEXT(I33,"0")&amp;" "&amp;IF(I33=1,IF(LOWER(J33)="d","dia","semana"),IF(LOWER(J33)="d","dias","semanas"))&amp;",","")
&amp;" por um período de "&amp;TEXT(K33,"0")&amp;" "&amp;IF(K33=1,IF(LOWER(L33)="d","dia","semana"),IF(LOWER(L33)="d","dias","semanas"))
)
)
)</f>
        <v/>
      </c>
      <c r="P33" t="inlineStr">
        <is>
          <t>A05</t>
        </is>
      </c>
      <c r="Q33" t="inlineStr">
        <is>
          <t>A05O01</t>
        </is>
      </c>
      <c r="R33" t="inlineStr">
        <is>
          <t>Participar de ações sociais ou voluntariado</t>
        </is>
      </c>
      <c r="S33" t="n">
        <v>0</v>
      </c>
    </row>
    <row r="34">
      <c r="A34" s="2" t="inlineStr">
        <is>
          <t>Comunidade</t>
        </is>
      </c>
      <c r="B34" s="2" t="inlineStr">
        <is>
          <t>Avançado</t>
        </is>
      </c>
      <c r="C34" s="2" t="inlineStr">
        <is>
          <t>Capacitar 5 pessoas em uma habilidade prática.</t>
        </is>
      </c>
      <c r="D34" s="3" t="n">
        <v>5</v>
      </c>
      <c r="E34" s="3" t="n">
        <v>3</v>
      </c>
      <c r="F34" s="3" t="n">
        <v>11</v>
      </c>
      <c r="G34" s="2" t="n">
        <v>1</v>
      </c>
      <c r="H34" s="2" t="inlineStr">
        <is>
          <t>d</t>
        </is>
      </c>
      <c r="I34" s="2" t="n"/>
      <c r="J34" s="2" t="n"/>
      <c r="K34" s="2" t="n">
        <v>1</v>
      </c>
      <c r="L34" s="2" t="inlineStr">
        <is>
          <t>d</t>
        </is>
      </c>
      <c r="M34" s="9">
        <f>LEFT(A34,2)&amp;LEFT(B34,1)&amp;TEXT(F34,"000")&amp;"-"&amp;IF(
AND(G34="",H34="",K34="",L34=""),
"0d0d",
TEXT(G34,"0")&amp;LOWER(H34)&amp;TEXT(K34,"0")&amp;LOWER(L34)
)</f>
        <v/>
      </c>
      <c r="N34" s="9">
        <f>IF(B34="Básico",1,IF(B34="Desafio",2,IF(B34="Avançado",3)))</f>
        <v/>
      </c>
      <c r="O34" s="2">
        <f>IF(
AND(G34="",H34="",I34="",J34="",K34="",L34=""),
"Fique atento para a primeira oportunidade que surgir",
IF(AND(G34=0,LOWER(H34)="d",K34=0,LOWER(L34)="d"),
"Fique atento para a primeira oportunidade que surgir",
IF(AND(G34=1,LOWER(H34)="d",K34=1,LOWER(L34)="d"),
"Pelo menos uma vez",
IF(G34=0,"O dia inteiro",IF(G34=1,"Uma vez",TEXT(G34,"0")&amp;" vezes")&amp;" por "&amp;IF(LOWER(H34)="d","dia","semana"))
&amp;IF(AND(ISNUMBER(I34),I34&gt;0),", a cada "&amp;TEXT(I34,"0")&amp;" "&amp;IF(I34=1,IF(LOWER(J34)="d","dia","semana"),IF(LOWER(J34)="d","dias","semanas"))&amp;",","")
&amp;" por um período de "&amp;TEXT(K34,"0")&amp;" "&amp;IF(K34=1,IF(LOWER(L34)="d","dia","semana"),IF(LOWER(L34)="d","dias","semanas"))
)
)
)</f>
        <v/>
      </c>
      <c r="P34" t="inlineStr">
        <is>
          <t>A05</t>
        </is>
      </c>
      <c r="Q34" t="inlineStr">
        <is>
          <t>A05O01</t>
        </is>
      </c>
      <c r="R34" t="inlineStr">
        <is>
          <t>Participar de ações sociais ou voluntariado</t>
        </is>
      </c>
      <c r="S34" t="n">
        <v>0</v>
      </c>
    </row>
    <row r="35">
      <c r="A35" s="2" t="inlineStr">
        <is>
          <t>Comunidade</t>
        </is>
      </c>
      <c r="B35" s="2" t="inlineStr">
        <is>
          <t>Avançado</t>
        </is>
      </c>
      <c r="C35" s="2" t="inlineStr">
        <is>
          <t>Mapear ONGs locais e alinhar voluntariado recorrente.</t>
        </is>
      </c>
      <c r="D35" s="3" t="n">
        <v>5</v>
      </c>
      <c r="E35" s="3" t="n">
        <v>3</v>
      </c>
      <c r="F35" s="3" t="n">
        <v>12</v>
      </c>
      <c r="G35" s="2" t="n">
        <v>1</v>
      </c>
      <c r="H35" s="2" t="inlineStr">
        <is>
          <t>d</t>
        </is>
      </c>
      <c r="I35" s="2" t="n"/>
      <c r="J35" s="2" t="n"/>
      <c r="K35" s="2" t="n">
        <v>1</v>
      </c>
      <c r="L35" s="2" t="inlineStr">
        <is>
          <t>d</t>
        </is>
      </c>
      <c r="M35" s="9">
        <f>LEFT(A35,2)&amp;LEFT(B35,1)&amp;TEXT(F35,"000")&amp;"-"&amp;IF(
AND(G35="",H35="",K35="",L35=""),
"0d0d",
TEXT(G35,"0")&amp;LOWER(H35)&amp;TEXT(K35,"0")&amp;LOWER(L35)
)</f>
        <v/>
      </c>
      <c r="N35" s="9">
        <f>IF(B35="Básico",1,IF(B35="Desafio",2,IF(B35="Avançado",3)))</f>
        <v/>
      </c>
      <c r="O35" s="2">
        <f>IF(
AND(G35="",H35="",I35="",J35="",K35="",L35=""),
"Fique atento para a primeira oportunidade que surgir",
IF(AND(G35=0,LOWER(H35)="d",K35=0,LOWER(L35)="d"),
"Fique atento para a primeira oportunidade que surgir",
IF(AND(G35=1,LOWER(H35)="d",K35=1,LOWER(L35)="d"),
"Pelo menos uma vez",
IF(G35=0,"O dia inteiro",IF(G35=1,"Uma vez",TEXT(G35,"0")&amp;" vezes")&amp;" por "&amp;IF(LOWER(H35)="d","dia","semana"))
&amp;IF(AND(ISNUMBER(I35),I35&gt;0),", a cada "&amp;TEXT(I35,"0")&amp;" "&amp;IF(I35=1,IF(LOWER(J35)="d","dia","semana"),IF(LOWER(J35)="d","dias","semanas"))&amp;",","")
&amp;" por um período de "&amp;TEXT(K35,"0")&amp;" "&amp;IF(K35=1,IF(LOWER(L35)="d","dia","semana"),IF(LOWER(L35)="d","dias","semanas"))
)
)
)</f>
        <v/>
      </c>
      <c r="P35" t="inlineStr">
        <is>
          <t>A05</t>
        </is>
      </c>
      <c r="Q35" t="inlineStr">
        <is>
          <t>A05O01</t>
        </is>
      </c>
      <c r="R35" t="inlineStr">
        <is>
          <t>Participar de ações sociais ou voluntariado</t>
        </is>
      </c>
      <c r="S35" t="n">
        <v>0.111</v>
      </c>
    </row>
    <row r="36">
      <c r="A36" s="2" t="inlineStr">
        <is>
          <t>Comunidade</t>
        </is>
      </c>
      <c r="B36" s="2" t="inlineStr">
        <is>
          <t>Avançado</t>
        </is>
      </c>
      <c r="C36" s="2" t="inlineStr">
        <is>
          <t>Conduzir pesquisa de satisfação sobre serviços do bairro.</t>
        </is>
      </c>
      <c r="D36" s="3" t="n">
        <v>5</v>
      </c>
      <c r="E36" s="3" t="n">
        <v>3</v>
      </c>
      <c r="F36" s="3" t="n">
        <v>13</v>
      </c>
      <c r="G36" s="2" t="n">
        <v>1</v>
      </c>
      <c r="H36" s="2" t="inlineStr">
        <is>
          <t>d</t>
        </is>
      </c>
      <c r="I36" s="2" t="n">
        <v>30</v>
      </c>
      <c r="J36" s="2" t="inlineStr">
        <is>
          <t>d</t>
        </is>
      </c>
      <c r="K36" s="2" t="n">
        <v>90</v>
      </c>
      <c r="L36" s="2" t="inlineStr">
        <is>
          <t>d</t>
        </is>
      </c>
      <c r="M36" s="9">
        <f>LEFT(A36,2)&amp;LEFT(B36,1)&amp;TEXT(F36,"000")&amp;"-"&amp;IF(
AND(G36="",H36="",K36="",L36=""),
"0d0d",
TEXT(G36,"0")&amp;LOWER(H36)&amp;TEXT(K36,"0")&amp;LOWER(L36)
)</f>
        <v/>
      </c>
      <c r="N36" s="9">
        <f>IF(B36="Básico",1,IF(B36="Desafio",2,IF(B36="Avançado",3)))</f>
        <v/>
      </c>
      <c r="O36" s="2">
        <f>IF(
AND(G36="",H36="",I36="",J36="",K36="",L36=""),
"Fique atento para a primeira oportunidade que surgir",
IF(AND(G36=0,LOWER(H36)="d",K36=0,LOWER(L36)="d"),
"Fique atento para a primeira oportunidade que surgir",
IF(AND(G36=1,LOWER(H36)="d",K36=1,LOWER(L36)="d"),
"Pelo menos uma vez",
IF(G36=0,"O dia inteiro",IF(G36=1,"Uma vez",TEXT(G36,"0")&amp;" vezes")&amp;" por "&amp;IF(LOWER(H36)="d","dia","semana"))
&amp;IF(AND(ISNUMBER(I36),I36&gt;0),", a cada "&amp;TEXT(I36,"0")&amp;" "&amp;IF(I36=1,IF(LOWER(J36)="d","dia","semana"),IF(LOWER(J36)="d","dias","semanas"))&amp;",","")
&amp;" por um período de "&amp;TEXT(K36,"0")&amp;" "&amp;IF(K36=1,IF(LOWER(L36)="d","dia","semana"),IF(LOWER(L36)="d","dias","semanas"))
)
)
)</f>
        <v/>
      </c>
      <c r="P36" t="inlineStr">
        <is>
          <t>A05</t>
        </is>
      </c>
      <c r="Q36" t="inlineStr">
        <is>
          <t>A05O01</t>
        </is>
      </c>
      <c r="R36" t="inlineStr">
        <is>
          <t>Participar de ações sociais ou voluntariado</t>
        </is>
      </c>
      <c r="S36" t="n">
        <v>0</v>
      </c>
    </row>
    <row r="37">
      <c r="A37" s="2" t="inlineStr">
        <is>
          <t>Comunidade</t>
        </is>
      </c>
      <c r="B37" s="2" t="inlineStr">
        <is>
          <t>Avançado</t>
        </is>
      </c>
      <c r="C37" s="2" t="inlineStr">
        <is>
          <t>Registrar indicadores (lixo, iluminação, segurança) por 3 semanas.</t>
        </is>
      </c>
      <c r="D37" s="3" t="n">
        <v>5</v>
      </c>
      <c r="E37" s="3" t="n">
        <v>3</v>
      </c>
      <c r="F37" s="3" t="n">
        <v>14</v>
      </c>
      <c r="G37" s="2" t="n">
        <v>1</v>
      </c>
      <c r="H37" s="2" t="inlineStr">
        <is>
          <t>d</t>
        </is>
      </c>
      <c r="I37" s="2" t="n">
        <v>21</v>
      </c>
      <c r="J37" s="2" t="inlineStr">
        <is>
          <t>d</t>
        </is>
      </c>
      <c r="K37" s="2" t="n">
        <v>21</v>
      </c>
      <c r="L37" s="2" t="inlineStr">
        <is>
          <t>d</t>
        </is>
      </c>
      <c r="M37" s="9">
        <f>LEFT(A37,2)&amp;LEFT(B37,1)&amp;TEXT(F37,"000")&amp;"-"&amp;IF(
AND(G37="",H37="",K37="",L37=""),
"0d0d",
TEXT(G37,"0")&amp;LOWER(H37)&amp;TEXT(K37,"0")&amp;LOWER(L37)
)</f>
        <v/>
      </c>
      <c r="N37" s="9">
        <f>IF(B37="Básico",1,IF(B37="Desafio",2,IF(B37="Avançado",3)))</f>
        <v/>
      </c>
      <c r="O37" s="2">
        <f>IF(
AND(G37="",H37="",I37="",J37="",K37="",L37=""),
"Fique atento para a primeira oportunidade que surgir",
IF(AND(G37=0,LOWER(H37)="d",K37=0,LOWER(L37)="d"),
"Fique atento para a primeira oportunidade que surgir",
IF(AND(G37=1,LOWER(H37)="d",K37=1,LOWER(L37)="d"),
"Pelo menos uma vez",
IF(G37=0,"O dia inteiro",IF(G37=1,"Uma vez",TEXT(G37,"0")&amp;" vezes")&amp;" por "&amp;IF(LOWER(H37)="d","dia","semana"))
&amp;IF(AND(ISNUMBER(I37),I37&gt;0),", a cada "&amp;TEXT(I37,"0")&amp;" "&amp;IF(I37=1,IF(LOWER(J37)="d","dia","semana"),IF(LOWER(J37)="d","dias","semanas"))&amp;",","")
&amp;" por um período de "&amp;TEXT(K37,"0")&amp;" "&amp;IF(K37=1,IF(LOWER(L37)="d","dia","semana"),IF(LOWER(L37)="d","dias","semanas"))
)
)
)</f>
        <v/>
      </c>
      <c r="P37" t="inlineStr">
        <is>
          <t>A05</t>
        </is>
      </c>
      <c r="Q37" t="inlineStr">
        <is>
          <t>A05O01</t>
        </is>
      </c>
      <c r="R37" t="inlineStr">
        <is>
          <t>Participar de ações sociais ou voluntariado</t>
        </is>
      </c>
      <c r="S37" t="n">
        <v>0</v>
      </c>
    </row>
    <row r="38">
      <c r="A38" s="2" t="inlineStr">
        <is>
          <t>Comunidade</t>
        </is>
      </c>
      <c r="B38" s="2" t="inlineStr">
        <is>
          <t>Avançado</t>
        </is>
      </c>
      <c r="C38" s="2" t="inlineStr">
        <is>
          <t>Formalizar grupo em rede social para mobilização positiva.</t>
        </is>
      </c>
      <c r="D38" s="3" t="n">
        <v>5</v>
      </c>
      <c r="E38" s="3" t="n">
        <v>3</v>
      </c>
      <c r="F38" s="3" t="n">
        <v>15</v>
      </c>
      <c r="G38" s="2" t="n">
        <v>1</v>
      </c>
      <c r="H38" s="2" t="inlineStr">
        <is>
          <t>d</t>
        </is>
      </c>
      <c r="I38" s="2" t="n"/>
      <c r="J38" s="2" t="n"/>
      <c r="K38" s="2" t="n">
        <v>1</v>
      </c>
      <c r="L38" s="2" t="inlineStr">
        <is>
          <t>d</t>
        </is>
      </c>
      <c r="M38" s="9">
        <f>LEFT(A38,2)&amp;LEFT(B38,1)&amp;TEXT(F38,"000")&amp;"-"&amp;IF(
AND(G38="",H38="",K38="",L38=""),
"0d0d",
TEXT(G38,"0")&amp;LOWER(H38)&amp;TEXT(K38,"0")&amp;LOWER(L38)
)</f>
        <v/>
      </c>
      <c r="N38" s="9">
        <f>IF(B38="Básico",1,IF(B38="Desafio",2,IF(B38="Avançado",3)))</f>
        <v/>
      </c>
      <c r="O38" s="2">
        <f>IF(
AND(G38="",H38="",I38="",J38="",K38="",L38=""),
"Fique atento para a primeira oportunidade que surgir",
IF(AND(G38=0,LOWER(H38)="d",K38=0,LOWER(L38)="d"),
"Fique atento para a primeira oportunidade que surgir",
IF(AND(G38=1,LOWER(H38)="d",K38=1,LOWER(L38)="d"),
"Pelo menos uma vez",
IF(G38=0,"O dia inteiro",IF(G38=1,"Uma vez",TEXT(G38,"0")&amp;" vezes")&amp;" por "&amp;IF(LOWER(H38)="d","dia","semana"))
&amp;IF(AND(ISNUMBER(I38),I38&gt;0),", a cada "&amp;TEXT(I38,"0")&amp;" "&amp;IF(I38=1,IF(LOWER(J38)="d","dia","semana"),IF(LOWER(J38)="d","dias","semanas"))&amp;",","")
&amp;" por um período de "&amp;TEXT(K38,"0")&amp;" "&amp;IF(K38=1,IF(LOWER(L38)="d","dia","semana"),IF(LOWER(L38)="d","dias","semanas"))
)
)
)</f>
        <v/>
      </c>
      <c r="P38" t="inlineStr">
        <is>
          <t>A05</t>
        </is>
      </c>
      <c r="Q38" t="inlineStr">
        <is>
          <t>A05O07</t>
        </is>
      </c>
      <c r="R38" t="inlineStr">
        <is>
          <t>Usar redes sociais com responsabilidade</t>
        </is>
      </c>
      <c r="S38" t="n">
        <v>0.111</v>
      </c>
    </row>
    <row r="40">
      <c r="A40" s="4" t="n"/>
      <c r="B40" s="4" t="n"/>
    </row>
  </sheetData>
  <dataValidations count="1">
    <dataValidation sqref="G2:G1037 K2:K1037 I2:I1037" showErrorMessage="1" showInputMessage="1" allowBlank="1" errorTitle="Número inválido" error="Informe um número inteiro maior ou igual a 0" type="whole" operator="greaterThanOrEqual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"/>
  <sheetViews>
    <sheetView zoomScale="85" zoomScaleNormal="85" workbookViewId="0">
      <pane ySplit="1" topLeftCell="A26" activePane="bottomLeft" state="frozen"/>
      <selection pane="bottomLeft" activeCell="C29" sqref="C29"/>
    </sheetView>
  </sheetViews>
  <sheetFormatPr baseColWidth="8" defaultRowHeight="15"/>
  <cols>
    <col width="6.5703125" bestFit="1" customWidth="1" min="1" max="1"/>
    <col width="9.5703125" bestFit="1" customWidth="1" min="2" max="2"/>
    <col width="63.42578125" customWidth="1" min="3" max="3"/>
    <col width="3.7109375" bestFit="1" customWidth="1" style="10" min="4" max="7"/>
    <col width="3.7109375" customWidth="1" style="10" min="8" max="8"/>
    <col width="3.7109375" bestFit="1" customWidth="1" style="10" min="9" max="9"/>
    <col width="3.7109375" customWidth="1" style="10" min="10" max="10"/>
    <col width="3.7109375" bestFit="1" customWidth="1" style="10" min="11" max="11"/>
    <col width="3.7109375" customWidth="1" style="10" min="12" max="12"/>
    <col width="14.42578125" bestFit="1" customWidth="1" min="13" max="13"/>
    <col width="3.7109375" bestFit="1" customWidth="1" style="10" min="14" max="14"/>
    <col width="39.28515625" bestFit="1" customWidth="1" min="15" max="15"/>
  </cols>
  <sheetData>
    <row r="1" ht="108.75" customFormat="1" customHeight="1" s="6">
      <c r="A1" s="5" t="inlineStr">
        <is>
          <t>Area</t>
        </is>
      </c>
      <c r="B1" s="5" t="inlineStr">
        <is>
          <t>Nivel</t>
        </is>
      </c>
      <c r="C1" s="5" t="inlineStr">
        <is>
          <t>Estrategia</t>
        </is>
      </c>
      <c r="D1" s="7" t="inlineStr">
        <is>
          <t>OrdemArea</t>
        </is>
      </c>
      <c r="E1" s="7" t="inlineStr">
        <is>
          <t>OrdemNivel</t>
        </is>
      </c>
      <c r="F1" s="7" t="inlineStr">
        <is>
          <t>OrdemEstrategia</t>
        </is>
      </c>
      <c r="G1" s="7" t="inlineStr">
        <is>
          <t>FreqNum</t>
        </is>
      </c>
      <c r="H1" s="7" t="inlineStr">
        <is>
          <t>FreqUnid</t>
        </is>
      </c>
      <c r="I1" s="7" t="inlineStr">
        <is>
          <t>CadenciaNum</t>
        </is>
      </c>
      <c r="J1" s="7" t="inlineStr">
        <is>
          <t>CadenciaUnid</t>
        </is>
      </c>
      <c r="K1" s="7" t="inlineStr">
        <is>
          <t>PeriodoNum</t>
        </is>
      </c>
      <c r="L1" s="7" t="inlineStr">
        <is>
          <t>PeriodoUnid</t>
        </is>
      </c>
      <c r="M1" s="13" t="inlineStr">
        <is>
          <t>CODIGO</t>
        </is>
      </c>
      <c r="N1" s="13" t="inlineStr">
        <is>
          <t>Peso</t>
        </is>
      </c>
      <c r="O1" s="13" t="inlineStr">
        <is>
          <t>Descrição da Dosagem</t>
        </is>
      </c>
      <c r="P1" s="16" t="inlineStr">
        <is>
          <t>CodArea</t>
        </is>
      </c>
      <c r="Q1" s="16" t="inlineStr">
        <is>
          <t>CodObjetivoSugerido</t>
        </is>
      </c>
      <c r="R1" t="inlineStr">
        <is>
          <t>DescObjetivoSugerida</t>
        </is>
      </c>
      <c r="S1" t="inlineStr">
        <is>
          <t>ScoreAlinhamento</t>
        </is>
      </c>
    </row>
    <row r="2">
      <c r="A2" s="2" t="inlineStr">
        <is>
          <t>Igreja</t>
        </is>
      </c>
      <c r="B2" s="2" t="inlineStr">
        <is>
          <t>Básico</t>
        </is>
      </c>
      <c r="C2" s="2" t="inlineStr">
        <is>
          <t>Ler, pelo menos, um verso bíblico curto por dia.</t>
        </is>
      </c>
      <c r="D2" s="8" t="n">
        <v>2</v>
      </c>
      <c r="E2" s="8" t="n">
        <v>1</v>
      </c>
      <c r="F2" s="8" t="n">
        <v>1</v>
      </c>
      <c r="G2" s="9" t="n">
        <v>1</v>
      </c>
      <c r="H2" s="9" t="inlineStr">
        <is>
          <t>d</t>
        </is>
      </c>
      <c r="I2" s="9" t="n"/>
      <c r="J2" s="9" t="n"/>
      <c r="K2" s="9" t="n">
        <v>14</v>
      </c>
      <c r="L2" s="9" t="inlineStr">
        <is>
          <t>d</t>
        </is>
      </c>
      <c r="M2" s="9">
        <f>LEFT(A2,2)&amp;LEFT(B2,1)&amp;TEXT(F2,"000")&amp;"-"&amp;IF(
  AND(G2="",H2="",K2="",L2=""),
  "0d0d",
  TEXT(G2,"0")&amp;LOWER(H2)&amp;TEXT(K2,"0")&amp;LOWER(L2)
)</f>
        <v/>
      </c>
      <c r="N2" s="9">
        <f>IF(B2="Básico",1,IF(B2="Desafio",2,IF(B2="Avançado",3)))</f>
        <v/>
      </c>
      <c r="O2" s="2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/>
      </c>
      <c r="P2" t="inlineStr">
        <is>
          <t>A02</t>
        </is>
      </c>
      <c r="Q2" t="inlineStr">
        <is>
          <t>A02O04</t>
        </is>
      </c>
      <c r="R2" t="inlineStr">
        <is>
          <t>Orar e ler a Bíblia diariamente</t>
        </is>
      </c>
      <c r="S2" t="n">
        <v>0.111</v>
      </c>
    </row>
    <row r="3">
      <c r="A3" s="2" t="inlineStr">
        <is>
          <t>Igreja</t>
        </is>
      </c>
      <c r="B3" s="2" t="inlineStr">
        <is>
          <t>Básico</t>
        </is>
      </c>
      <c r="C3" s="2" t="inlineStr">
        <is>
          <t>Anotar uma frase marcante do sermão ou estudo.</t>
        </is>
      </c>
      <c r="D3" s="8" t="n">
        <v>2</v>
      </c>
      <c r="E3" s="8" t="n">
        <v>1</v>
      </c>
      <c r="F3" s="8" t="n">
        <v>2</v>
      </c>
      <c r="G3" s="9" t="n">
        <v>1</v>
      </c>
      <c r="H3" s="9" t="inlineStr">
        <is>
          <t>d</t>
        </is>
      </c>
      <c r="I3" s="9" t="n">
        <v>7</v>
      </c>
      <c r="J3" s="9" t="inlineStr">
        <is>
          <t>d</t>
        </is>
      </c>
      <c r="K3" s="9" t="n">
        <v>14</v>
      </c>
      <c r="L3" s="9" t="inlineStr">
        <is>
          <t>d</t>
        </is>
      </c>
      <c r="M3" s="9">
        <f>LEFT(A3,2)&amp;LEFT(B3,1)&amp;TEXT(F3,"000")&amp;"-"&amp;IF(
  AND(G3="",H3="",K3="",L3=""),
  "0d0d",
  TEXT(G3,"0")&amp;LOWER(H3)&amp;TEXT(K3,"0")&amp;LOWER(L3)
)</f>
        <v/>
      </c>
      <c r="N3" s="9">
        <f>IF(B3="Básico",1,IF(B3="Desafio",2,IF(B3="Avançado",3)))</f>
        <v/>
      </c>
      <c r="O3" s="2">
        <f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/>
      </c>
      <c r="P3" t="inlineStr">
        <is>
          <t>A02</t>
        </is>
      </c>
      <c r="Q3" t="inlineStr">
        <is>
          <t>A02O01</t>
        </is>
      </c>
      <c r="R3" t="inlineStr">
        <is>
          <t>Frequentar os cultos com regularidade</t>
        </is>
      </c>
      <c r="S3" t="n">
        <v>0</v>
      </c>
    </row>
    <row r="4">
      <c r="A4" s="2" t="inlineStr">
        <is>
          <t>Igreja</t>
        </is>
      </c>
      <c r="B4" s="2" t="inlineStr">
        <is>
          <t>Básico</t>
        </is>
      </c>
      <c r="C4" s="2" t="inlineStr">
        <is>
          <t>Cumprimentar calorosamente alguém da minha igreja que eu não conheço bem.</t>
        </is>
      </c>
      <c r="D4" s="8" t="n">
        <v>2</v>
      </c>
      <c r="E4" s="8" t="n">
        <v>1</v>
      </c>
      <c r="F4" s="8" t="n">
        <v>3</v>
      </c>
      <c r="G4" s="9" t="n">
        <v>1</v>
      </c>
      <c r="H4" s="9" t="inlineStr">
        <is>
          <t>d</t>
        </is>
      </c>
      <c r="I4" s="9" t="n">
        <v>7</v>
      </c>
      <c r="J4" s="9" t="inlineStr">
        <is>
          <t>d</t>
        </is>
      </c>
      <c r="K4" s="9" t="n">
        <v>14</v>
      </c>
      <c r="L4" s="9" t="inlineStr">
        <is>
          <t>d</t>
        </is>
      </c>
      <c r="M4" s="9">
        <f>LEFT(A4,2)&amp;LEFT(B4,1)&amp;TEXT(F4,"000")&amp;"-"&amp;IF(
AND(G4="",H4="",K4="",L4=""),
"0d0d",
TEXT(G4,"0")&amp;LOWER(H4)&amp;TEXT(K4,"0")&amp;LOWER(L4)
)</f>
        <v/>
      </c>
      <c r="N4" s="9">
        <f>IF(B4="Básico",1,IF(B4="Desafio",2,IF(B4="Avançado",3)))</f>
        <v/>
      </c>
      <c r="O4" s="2">
        <f>IF(
AND(G4="",H4="",I4="",J4="",K4="",L4=""),
"Fique atento para a primeira oportunidade que surgir",
IF(AND(G4=0,LOWER(H4)="d",K4=0,LOWER(L4)="d"),
"Fique atento para a primeira oportunidade que surgir",
IF(AND(G4=1,LOWER(H4)="d",K4=1,LOWER(L4)="d"),
"Pelo menos uma vez",
IF(G4=0,"O dia inteiro",IF(G4=1,"Uma vez",TEXT(G4,"0")&amp;" vezes")&amp;" por "&amp;IF(LOWER(H4)="d","dia","semana"))
&amp;IF(AND(ISNUMBER(I4),I4&gt;0),", a cada "&amp;TEXT(I4,"0")&amp;" "&amp;IF(I4=1,IF(LOWER(J4)="d","dia","semana"),IF(LOWER(J4)="d","dias","semanas"))&amp;",","")
&amp;" por um período de "&amp;TEXT(K4,"0")&amp;" "&amp;IF(K4=1,IF(LOWER(L4)="d","dia","semana"),IF(LOWER(L4)="d","dias","semanas"))
)
)
)</f>
        <v/>
      </c>
      <c r="P4" t="inlineStr">
        <is>
          <t>A02</t>
        </is>
      </c>
      <c r="Q4" t="inlineStr">
        <is>
          <t>A02O05</t>
        </is>
      </c>
      <c r="R4" t="inlineStr">
        <is>
          <t>Testemunhar minha fé com sabedoria</t>
        </is>
      </c>
      <c r="S4" t="n">
        <v>0.111</v>
      </c>
    </row>
    <row r="5">
      <c r="A5" s="2" t="inlineStr">
        <is>
          <t>Igreja</t>
        </is>
      </c>
      <c r="B5" s="2" t="inlineStr">
        <is>
          <t>Básico</t>
        </is>
      </c>
      <c r="C5" s="2" t="inlineStr">
        <is>
          <t>Participar ativamente de uma oração coletiva.</t>
        </is>
      </c>
      <c r="D5" s="8" t="n">
        <v>2</v>
      </c>
      <c r="E5" s="8" t="n">
        <v>1</v>
      </c>
      <c r="F5" s="8" t="n">
        <v>4</v>
      </c>
      <c r="G5" s="9" t="n">
        <v>1</v>
      </c>
      <c r="H5" s="9" t="inlineStr">
        <is>
          <t>d</t>
        </is>
      </c>
      <c r="I5" s="9" t="n"/>
      <c r="J5" s="9" t="n"/>
      <c r="K5" s="9" t="n">
        <v>1</v>
      </c>
      <c r="L5" s="9" t="inlineStr">
        <is>
          <t>d</t>
        </is>
      </c>
      <c r="M5" s="9">
        <f>LEFT(A5,2)&amp;LEFT(B5,1)&amp;TEXT(F5,"000")&amp;"-"&amp;IF(
AND(G5="",H5="",K5="",L5=""),
"0d0d",
TEXT(G5,"0")&amp;LOWER(H5)&amp;TEXT(K5,"0")&amp;LOWER(L5)
)</f>
        <v/>
      </c>
      <c r="N5" s="9">
        <f>IF(B5="Básico",1,IF(B5="Desafio",2,IF(B5="Avançado",3)))</f>
        <v/>
      </c>
      <c r="O5" s="2">
        <f>IF(
AND(G5="",H5="",I5="",J5="",K5="",L5=""),
"Fique atento para a primeira oportunidade que surgir",
IF(AND(G5=0,LOWER(H5)="d",K5=0,LOWER(L5)="d"),
"Fique atento para a primeira oportunidade que surgir",
IF(AND(G5=1,LOWER(H5)="d",K5=1,LOWER(L5)="d"),
"Pelo menos uma vez",
IF(G5=0,"O dia inteiro",IF(G5=1,"Uma vez",TEXT(G5,"0")&amp;" vezes")&amp;" por "&amp;IF(LOWER(H5)="d","dia","semana"))
&amp;IF(AND(ISNUMBER(I5),I5&gt;0),", a cada "&amp;TEXT(I5,"0")&amp;" "&amp;IF(I5=1,IF(LOWER(J5)="d","dia","semana"),IF(LOWER(J5)="d","dias","semanas"))&amp;",","")
&amp;" por um período de "&amp;TEXT(K5,"0")&amp;" "&amp;IF(K5=1,IF(LOWER(L5)="d","dia","semana"),IF(LOWER(L5)="d","dias","semanas"))
)
)
)</f>
        <v/>
      </c>
      <c r="P5" t="inlineStr">
        <is>
          <t>A02</t>
        </is>
      </c>
      <c r="Q5" t="inlineStr">
        <is>
          <t>A02O02</t>
        </is>
      </c>
      <c r="R5" t="inlineStr">
        <is>
          <t>Participar ativamente do ministério de jovens</t>
        </is>
      </c>
      <c r="S5" t="n">
        <v>0.333</v>
      </c>
    </row>
    <row r="6">
      <c r="A6" s="2" t="inlineStr">
        <is>
          <t>Igreja</t>
        </is>
      </c>
      <c r="B6" s="2" t="inlineStr">
        <is>
          <t>Básico</t>
        </is>
      </c>
      <c r="C6" s="2" t="inlineStr">
        <is>
          <t>Compartilhar uma reflexão nas redes sociais.</t>
        </is>
      </c>
      <c r="D6" s="8" t="n">
        <v>2</v>
      </c>
      <c r="E6" s="8" t="n">
        <v>1</v>
      </c>
      <c r="F6" s="8" t="n">
        <v>5</v>
      </c>
      <c r="G6" s="9" t="n">
        <v>1</v>
      </c>
      <c r="H6" s="9" t="inlineStr">
        <is>
          <t>d</t>
        </is>
      </c>
      <c r="I6" s="9" t="n"/>
      <c r="J6" s="9" t="n"/>
      <c r="K6" s="9" t="n">
        <v>1</v>
      </c>
      <c r="L6" s="9" t="inlineStr">
        <is>
          <t>d</t>
        </is>
      </c>
      <c r="M6" s="9">
        <f>LEFT(A6,2)&amp;LEFT(B6,1)&amp;TEXT(F6,"000")&amp;"-"&amp;IF(
AND(G6="",H6="",K6="",L6=""),
"0d0d",
TEXT(G6,"0")&amp;LOWER(H6)&amp;TEXT(K6,"0")&amp;LOWER(L6)
)</f>
        <v/>
      </c>
      <c r="N6" s="9">
        <f>IF(B6="Básico",1,IF(B6="Desafio",2,IF(B6="Avançado",3)))</f>
        <v/>
      </c>
      <c r="O6" s="2">
        <f>IF(
AND(G6="",H6="",I6="",J6="",K6="",L6=""),
"Fique atento para a primeira oportunidade que surgir",
IF(AND(G6=0,LOWER(H6)="d",K6=0,LOWER(L6)="d"),
"Fique atento para a primeira oportunidade que surgir",
IF(AND(G6=1,LOWER(H6)="d",K6=1,LOWER(L6)="d"),
"Pelo menos uma vez",
IF(G6=0,"O dia inteiro",IF(G6=1,"Uma vez",TEXT(G6,"0")&amp;" vezes")&amp;" por "&amp;IF(LOWER(H6)="d","dia","semana"))
&amp;IF(AND(ISNUMBER(I6),I6&gt;0),", a cada "&amp;TEXT(I6,"0")&amp;" "&amp;IF(I6=1,IF(LOWER(J6)="d","dia","semana"),IF(LOWER(J6)="d","dias","semanas"))&amp;",","")
&amp;" por um período de "&amp;TEXT(K6,"0")&amp;" "&amp;IF(K6=1,IF(LOWER(L6)="d","dia","semana"),IF(LOWER(L6)="d","dias","semanas"))
)
)
)</f>
        <v/>
      </c>
      <c r="P6" t="inlineStr">
        <is>
          <t>A02</t>
        </is>
      </c>
      <c r="Q6" t="inlineStr">
        <is>
          <t>A02O01</t>
        </is>
      </c>
      <c r="R6" t="inlineStr">
        <is>
          <t>Frequentar os cultos com regularidade</t>
        </is>
      </c>
      <c r="S6" t="n">
        <v>0</v>
      </c>
    </row>
    <row r="7">
      <c r="A7" s="2" t="inlineStr">
        <is>
          <t>Igreja</t>
        </is>
      </c>
      <c r="B7" s="2" t="inlineStr">
        <is>
          <t>Básico</t>
        </is>
      </c>
      <c r="C7" s="2" t="inlineStr">
        <is>
          <t>Convidar um amigo para vir à igreja comigo.</t>
        </is>
      </c>
      <c r="D7" s="8" t="n">
        <v>2</v>
      </c>
      <c r="E7" s="8" t="n">
        <v>1</v>
      </c>
      <c r="F7" s="8" t="n">
        <v>6</v>
      </c>
      <c r="G7" s="9" t="n">
        <v>1</v>
      </c>
      <c r="H7" s="9" t="inlineStr">
        <is>
          <t>d</t>
        </is>
      </c>
      <c r="I7" s="9" t="n"/>
      <c r="J7" s="9" t="n"/>
      <c r="K7" s="9" t="n">
        <v>1</v>
      </c>
      <c r="L7" s="9" t="inlineStr">
        <is>
          <t>d</t>
        </is>
      </c>
      <c r="M7" s="9">
        <f>LEFT(A7,2)&amp;LEFT(B7,1)&amp;TEXT(F7,"000")&amp;"-"&amp;IF(
AND(G7="",H7="",K7="",L7=""),
"0d0d",
TEXT(G7,"0")&amp;LOWER(H7)&amp;TEXT(K7,"0")&amp;LOWER(L7)
)</f>
        <v/>
      </c>
      <c r="N7" s="9">
        <f>IF(B7="Básico",1,IF(B7="Desafio",2,IF(B7="Avançado",3)))</f>
        <v/>
      </c>
      <c r="O7" s="2">
        <f>IF(
AND(G7="",H7="",I7="",J7="",K7="",L7=""),
"Fique atento para a primeira oportunidade que surgir",
IF(AND(G7=0,LOWER(H7)="d",K7=0,LOWER(L7)="d"),
"Fique atento para a primeira oportunidade que surgir",
IF(AND(G7=1,LOWER(H7)="d",K7=1,LOWER(L7)="d"),
"Pelo menos uma vez",
IF(G7=0,"O dia inteiro",IF(G7=1,"Uma vez",TEXT(G7,"0")&amp;" vezes")&amp;" por "&amp;IF(LOWER(H7)="d","dia","semana"))
&amp;IF(AND(ISNUMBER(I7),I7&gt;0),", a cada "&amp;TEXT(I7,"0")&amp;" "&amp;IF(I7=1,IF(LOWER(J7)="d","dia","semana"),IF(LOWER(J7)="d","dias","semanas"))&amp;",","")
&amp;" por um período de "&amp;TEXT(K7,"0")&amp;" "&amp;IF(K7=1,IF(LOWER(L7)="d","dia","semana"),IF(LOWER(L7)="d","dias","semanas"))
)
)
)</f>
        <v/>
      </c>
      <c r="P7" t="inlineStr">
        <is>
          <t>A02</t>
        </is>
      </c>
      <c r="Q7" t="inlineStr">
        <is>
          <t>A02O03</t>
        </is>
      </c>
      <c r="R7" t="inlineStr">
        <is>
          <t>Servir em algum ministério da igreja</t>
        </is>
      </c>
      <c r="S7" t="n">
        <v>0.125</v>
      </c>
    </row>
    <row r="8">
      <c r="A8" s="2" t="inlineStr">
        <is>
          <t>Igreja</t>
        </is>
      </c>
      <c r="B8" s="2" t="inlineStr">
        <is>
          <t>Básico</t>
        </is>
      </c>
      <c r="C8" s="2" t="inlineStr">
        <is>
          <t>Ajudar a recolher materiais ou organizar cadeiras.</t>
        </is>
      </c>
      <c r="D8" s="8" t="n">
        <v>2</v>
      </c>
      <c r="E8" s="8" t="n">
        <v>1</v>
      </c>
      <c r="F8" s="8" t="n">
        <v>7</v>
      </c>
      <c r="G8" s="9" t="n">
        <v>1</v>
      </c>
      <c r="H8" s="9" t="inlineStr">
        <is>
          <t>d</t>
        </is>
      </c>
      <c r="I8" s="9" t="n"/>
      <c r="J8" s="9" t="n"/>
      <c r="K8" s="9" t="n">
        <v>1</v>
      </c>
      <c r="L8" s="9" t="inlineStr">
        <is>
          <t>d</t>
        </is>
      </c>
      <c r="M8" s="9">
        <f>LEFT(A8,2)&amp;LEFT(B8,1)&amp;TEXT(F8,"000")&amp;"-"&amp;IF(
AND(G8="",H8="",K8="",L8=""),
"0d0d",
TEXT(G8,"0")&amp;LOWER(H8)&amp;TEXT(K8,"0")&amp;LOWER(L8)
)</f>
        <v/>
      </c>
      <c r="N8" s="9">
        <f>IF(B8="Básico",1,IF(B8="Desafio",2,IF(B8="Avançado",3)))</f>
        <v/>
      </c>
      <c r="O8" s="2">
        <f>IF(
AND(G8="",H8="",I8="",J8="",K8="",L8=""),
"Fique atento para a primeira oportunidade que surgir",
IF(AND(G8=0,LOWER(H8)="d",K8=0,LOWER(L8)="d"),
"Fique atento para a primeira oportunidade que surgir",
IF(AND(G8=1,LOWER(H8)="d",K8=1,LOWER(L8)="d"),
"Pelo menos uma vez",
IF(G8=0,"O dia inteiro",IF(G8=1,"Uma vez",TEXT(G8,"0")&amp;" vezes")&amp;" por "&amp;IF(LOWER(H8)="d","dia","semana"))
&amp;IF(AND(ISNUMBER(I8),I8&gt;0),", a cada "&amp;TEXT(I8,"0")&amp;" "&amp;IF(I8=1,IF(LOWER(J8)="d","dia","semana"),IF(LOWER(J8)="d","dias","semanas"))&amp;",","")
&amp;" por um período de "&amp;TEXT(K8,"0")&amp;" "&amp;IF(K8=1,IF(LOWER(L8)="d","dia","semana"),IF(LOWER(L8)="d","dias","semanas"))
)
)
)</f>
        <v/>
      </c>
      <c r="P8" t="inlineStr">
        <is>
          <t>A02</t>
        </is>
      </c>
      <c r="Q8" t="inlineStr">
        <is>
          <t>A02O01</t>
        </is>
      </c>
      <c r="R8" t="inlineStr">
        <is>
          <t>Frequentar os cultos com regularidade</t>
        </is>
      </c>
      <c r="S8" t="n">
        <v>0</v>
      </c>
    </row>
    <row r="9">
      <c r="A9" s="2" t="inlineStr">
        <is>
          <t>Igreja</t>
        </is>
      </c>
      <c r="B9" s="2" t="inlineStr">
        <is>
          <t>Básico</t>
        </is>
      </c>
      <c r="C9" s="2" t="inlineStr">
        <is>
          <t>Cantar com alegria durante o louvor.</t>
        </is>
      </c>
      <c r="D9" s="8" t="n">
        <v>2</v>
      </c>
      <c r="E9" s="8" t="n">
        <v>1</v>
      </c>
      <c r="F9" s="8" t="n">
        <v>8</v>
      </c>
      <c r="G9" s="9" t="n">
        <v>1</v>
      </c>
      <c r="H9" s="9" t="inlineStr">
        <is>
          <t>d</t>
        </is>
      </c>
      <c r="I9" s="9" t="n"/>
      <c r="J9" s="9" t="n"/>
      <c r="K9" s="9" t="n">
        <v>1</v>
      </c>
      <c r="L9" s="9" t="inlineStr">
        <is>
          <t>d</t>
        </is>
      </c>
      <c r="M9" s="9">
        <f>LEFT(A9,2)&amp;LEFT(B9,1)&amp;TEXT(F9,"000")&amp;"-"&amp;IF(
AND(G9="",H9="",K9="",L9=""),
"0d0d",
TEXT(G9,"0")&amp;LOWER(H9)&amp;TEXT(K9,"0")&amp;LOWER(L9)
)</f>
        <v/>
      </c>
      <c r="N9" s="9">
        <f>IF(B9="Básico",1,IF(B9="Desafio",2,IF(B9="Avançado",3)))</f>
        <v/>
      </c>
      <c r="O9" s="2">
        <f>IF(
AND(G9="",H9="",I9="",J9="",K9="",L9=""),
"Fique atento para a primeira oportunidade que surgir",
IF(AND(G9=0,LOWER(H9)="d",K9=0,LOWER(L9)="d"),
"Fique atento para a primeira oportunidade que surgir",
IF(AND(G9=1,LOWER(H9)="d",K9=1,LOWER(L9)="d"),
"Pelo menos uma vez",
IF(G9=0,"O dia inteiro",IF(G9=1,"Uma vez",TEXT(G9,"0")&amp;" vezes")&amp;" por "&amp;IF(LOWER(H9)="d","dia","semana"))
&amp;IF(AND(ISNUMBER(I9),I9&gt;0),", a cada "&amp;TEXT(I9,"0")&amp;" "&amp;IF(I9=1,IF(LOWER(J9)="d","dia","semana"),IF(LOWER(J9)="d","dias","semanas"))&amp;",","")
&amp;" por um período de "&amp;TEXT(K9,"0")&amp;" "&amp;IF(K9=1,IF(LOWER(L9)="d","dia","semana"),IF(LOWER(L9)="d","dias","semanas"))
)
)
)</f>
        <v/>
      </c>
      <c r="P9" t="inlineStr">
        <is>
          <t>A02</t>
        </is>
      </c>
      <c r="Q9" t="inlineStr">
        <is>
          <t>A02O01</t>
        </is>
      </c>
      <c r="R9" t="inlineStr">
        <is>
          <t>Frequentar os cultos com regularidade</t>
        </is>
      </c>
      <c r="S9" t="n">
        <v>0</v>
      </c>
    </row>
    <row r="10">
      <c r="A10" s="2" t="inlineStr">
        <is>
          <t>Igreja</t>
        </is>
      </c>
      <c r="B10" s="2" t="inlineStr">
        <is>
          <t>Básico</t>
        </is>
      </c>
      <c r="C10" s="2" t="inlineStr">
        <is>
          <t>Fazer uma oração silenciosa por alguém da igreja.</t>
        </is>
      </c>
      <c r="D10" s="8" t="n">
        <v>2</v>
      </c>
      <c r="E10" s="8" t="n">
        <v>1</v>
      </c>
      <c r="F10" s="8" t="n">
        <v>9</v>
      </c>
      <c r="G10" s="9" t="n">
        <v>1</v>
      </c>
      <c r="H10" s="9" t="inlineStr">
        <is>
          <t>d</t>
        </is>
      </c>
      <c r="I10" s="9" t="n"/>
      <c r="J10" s="9" t="n"/>
      <c r="K10" s="9" t="n">
        <v>1</v>
      </c>
      <c r="L10" s="9" t="inlineStr">
        <is>
          <t>d</t>
        </is>
      </c>
      <c r="M10" s="9">
        <f>LEFT(A10,2)&amp;LEFT(B10,1)&amp;TEXT(F10,"000")&amp;"-"&amp;IF(
AND(G10="",H10="",K10="",L10=""),
"0d0d",
TEXT(G10,"0")&amp;LOWER(H10)&amp;TEXT(K10,"0")&amp;LOWER(L10)
)</f>
        <v/>
      </c>
      <c r="N10" s="9">
        <f>IF(B10="Básico",1,IF(B10="Desafio",2,IF(B10="Avançado",3)))</f>
        <v/>
      </c>
      <c r="O10" s="2">
        <f>IF(
AND(G10="",H10="",I10="",J10="",K10="",L10=""),
"Fique atento para a primeira oportunidade que surgir",
IF(AND(G10=0,LOWER(H10)="d",K10=0,LOWER(L10)="d"),
"Fique atento para a primeira oportunidade que surgir",
IF(AND(G10=1,LOWER(H10)="d",K10=1,LOWER(L10)="d"),
"Pelo menos uma vez",
IF(G10=0,"O dia inteiro",IF(G10=1,"Uma vez",TEXT(G10,"0")&amp;" vezes")&amp;" por "&amp;IF(LOWER(H10)="d","dia","semana"))
&amp;IF(AND(ISNUMBER(I10),I10&gt;0),", a cada "&amp;TEXT(I10,"0")&amp;" "&amp;IF(I10=1,IF(LOWER(J10)="d","dia","semana"),IF(LOWER(J10)="d","dias","semanas"))&amp;",","")
&amp;" por um período de "&amp;TEXT(K10,"0")&amp;" "&amp;IF(K10=1,IF(LOWER(L10)="d","dia","semana"),IF(LOWER(L10)="d","dias","semanas"))
)
)
)</f>
        <v/>
      </c>
      <c r="P10" t="inlineStr">
        <is>
          <t>A02</t>
        </is>
      </c>
      <c r="Q10" t="inlineStr">
        <is>
          <t>A02O03</t>
        </is>
      </c>
      <c r="R10" t="inlineStr">
        <is>
          <t>Servir em algum ministério da igreja</t>
        </is>
      </c>
      <c r="S10" t="n">
        <v>0.125</v>
      </c>
    </row>
    <row r="11">
      <c r="A11" s="2" t="inlineStr">
        <is>
          <t>Igreja</t>
        </is>
      </c>
      <c r="B11" s="2" t="inlineStr">
        <is>
          <t>Básico</t>
        </is>
      </c>
      <c r="C11" s="2" t="inlineStr">
        <is>
          <t>Agradecer a um líder ou professor da igreja.</t>
        </is>
      </c>
      <c r="D11" s="8" t="n">
        <v>2</v>
      </c>
      <c r="E11" s="8" t="n">
        <v>1</v>
      </c>
      <c r="F11" s="8" t="n">
        <v>10</v>
      </c>
      <c r="G11" s="9" t="n">
        <v>1</v>
      </c>
      <c r="H11" s="9" t="inlineStr">
        <is>
          <t>d</t>
        </is>
      </c>
      <c r="I11" s="9" t="n">
        <v>7</v>
      </c>
      <c r="J11" s="9" t="inlineStr">
        <is>
          <t>d</t>
        </is>
      </c>
      <c r="K11" s="9" t="n">
        <v>21</v>
      </c>
      <c r="L11" s="9" t="inlineStr">
        <is>
          <t>d</t>
        </is>
      </c>
      <c r="M11" s="9">
        <f>LEFT(A11,2)&amp;LEFT(B11,1)&amp;TEXT(F11,"000")&amp;"-"&amp;IF(
AND(G11="",H11="",K11="",L11=""),
"0d0d",
TEXT(G11,"0")&amp;LOWER(H11)&amp;TEXT(K11,"0")&amp;LOWER(L11)
)</f>
        <v/>
      </c>
      <c r="N11" s="9">
        <f>IF(B11="Básico",1,IF(B11="Desafio",2,IF(B11="Avançado",3)))</f>
        <v/>
      </c>
      <c r="O11" s="2">
        <f>IF(
AND(G11="",H11="",I11="",J11="",K11="",L11=""),
"Fique atento para a primeira oportunidade que surgir",
IF(AND(G11=0,LOWER(H11)="d",K11=0,LOWER(L11)="d"),
"Fique atento para a primeira oportunidade que surgir",
IF(AND(G11=1,LOWER(H11)="d",K11=1,LOWER(L11)="d"),
"Pelo menos uma vez",
IF(G11=0,"O dia inteiro",IF(G11=1,"Uma vez",TEXT(G11,"0")&amp;" vezes")&amp;" por "&amp;IF(LOWER(H11)="d","dia","semana"))
&amp;IF(AND(ISNUMBER(I11),I11&gt;0),", a cada "&amp;TEXT(I11,"0")&amp;" "&amp;IF(I11=1,IF(LOWER(J11)="d","dia","semana"),IF(LOWER(J11)="d","dias","semanas"))&amp;",","")
&amp;" por um período de "&amp;TEXT(K11,"0")&amp;" "&amp;IF(K11=1,IF(LOWER(L11)="d","dia","semana"),IF(LOWER(L11)="d","dias","semanas"))
)
)
)</f>
        <v/>
      </c>
      <c r="P11" t="inlineStr">
        <is>
          <t>A02</t>
        </is>
      </c>
      <c r="Q11" t="inlineStr">
        <is>
          <t>A02O03</t>
        </is>
      </c>
      <c r="R11" t="inlineStr">
        <is>
          <t>Servir em algum ministério da igreja</t>
        </is>
      </c>
      <c r="S11" t="n">
        <v>0.143</v>
      </c>
    </row>
    <row r="12">
      <c r="A12" s="2" t="inlineStr">
        <is>
          <t>Igreja</t>
        </is>
      </c>
      <c r="B12" s="2" t="inlineStr">
        <is>
          <t>Desafio</t>
        </is>
      </c>
      <c r="C12" s="2" t="inlineStr">
        <is>
          <t>Preparar a leitura pública de um salmo ou texto.</t>
        </is>
      </c>
      <c r="D12" s="8" t="n">
        <v>2</v>
      </c>
      <c r="E12" s="8" t="n">
        <v>2</v>
      </c>
      <c r="F12" s="8" t="n">
        <v>1</v>
      </c>
      <c r="G12" s="9" t="n">
        <v>1</v>
      </c>
      <c r="H12" s="9" t="inlineStr">
        <is>
          <t>d</t>
        </is>
      </c>
      <c r="I12" s="9" t="n"/>
      <c r="J12" s="9" t="n"/>
      <c r="K12" s="9" t="n">
        <v>1</v>
      </c>
      <c r="L12" s="9" t="inlineStr">
        <is>
          <t>d</t>
        </is>
      </c>
      <c r="M12" s="9">
        <f>LEFT(A12,2)&amp;LEFT(B12,1)&amp;TEXT(F12,"000")&amp;"-"&amp;IF(
AND(G12="",H12="",K12="",L12=""),
"0d0d",
TEXT(G12,"0")&amp;LOWER(H12)&amp;TEXT(K12,"0")&amp;LOWER(L12)
)</f>
        <v/>
      </c>
      <c r="N12" s="9">
        <f>IF(B12="Básico",1,IF(B12="Desafio",2,IF(B12="Avançado",3)))</f>
        <v/>
      </c>
      <c r="O12" s="2">
        <f>IF(
AND(G12="",H12="",I12="",J12="",K12="",L12=""),
"Fique atento para a primeira oportunidade que surgir",
IF(AND(G12=0,LOWER(H12)="d",K12=0,LOWER(L12)="d"),
"Fique atento para a primeira oportunidade que surgir",
IF(AND(G12=1,LOWER(H12)="d",K12=1,LOWER(L12)="d"),
"Pelo menos uma vez",
IF(G12=0,"O dia inteiro",IF(G12=1,"Uma vez",TEXT(G12,"0")&amp;" vezes")&amp;" por "&amp;IF(LOWER(H12)="d","dia","semana"))
&amp;IF(AND(ISNUMBER(I12),I12&gt;0),", a cada "&amp;TEXT(I12,"0")&amp;" "&amp;IF(I12=1,IF(LOWER(J12)="d","dia","semana"),IF(LOWER(J12)="d","dias","semanas"))&amp;",","")
&amp;" por um período de "&amp;TEXT(K12,"0")&amp;" "&amp;IF(K12=1,IF(LOWER(L12)="d","dia","semana"),IF(LOWER(L12)="d","dias","semanas"))
)
)
)</f>
        <v/>
      </c>
      <c r="P12" t="inlineStr">
        <is>
          <t>A02</t>
        </is>
      </c>
      <c r="Q12" t="inlineStr">
        <is>
          <t>A02O01</t>
        </is>
      </c>
      <c r="R12" t="inlineStr">
        <is>
          <t>Frequentar os cultos com regularidade</t>
        </is>
      </c>
      <c r="S12" t="n">
        <v>0</v>
      </c>
    </row>
    <row r="13">
      <c r="A13" s="2" t="inlineStr">
        <is>
          <t>Igreja</t>
        </is>
      </c>
      <c r="B13" s="2" t="inlineStr">
        <is>
          <t>Desafio</t>
        </is>
      </c>
      <c r="C13" s="2" t="inlineStr">
        <is>
          <t>Apoiar voluntariamente uma classe infantil por um dia.</t>
        </is>
      </c>
      <c r="D13" s="8" t="n">
        <v>2</v>
      </c>
      <c r="E13" s="8" t="n">
        <v>2</v>
      </c>
      <c r="F13" s="8" t="n">
        <v>2</v>
      </c>
      <c r="G13" s="9" t="n">
        <v>1</v>
      </c>
      <c r="H13" s="9" t="inlineStr">
        <is>
          <t>d</t>
        </is>
      </c>
      <c r="I13" s="9" t="n"/>
      <c r="J13" s="9" t="n"/>
      <c r="K13" s="9" t="n">
        <v>1</v>
      </c>
      <c r="L13" s="9" t="inlineStr">
        <is>
          <t>d</t>
        </is>
      </c>
      <c r="M13" s="9">
        <f>LEFT(A13,2)&amp;LEFT(B13,1)&amp;TEXT(F13,"000")&amp;"-"&amp;IF(
AND(G13="",H13="",K13="",L13=""),
"0d0d",
TEXT(G13,"0")&amp;LOWER(H13)&amp;TEXT(K13,"0")&amp;LOWER(L13)
)</f>
        <v/>
      </c>
      <c r="N13" s="9">
        <f>IF(B13="Básico",1,IF(B13="Desafio",2,IF(B13="Avançado",3)))</f>
        <v/>
      </c>
      <c r="O13" s="2">
        <f>IF(
AND(G13="",H13="",I13="",J13="",K13="",L13=""),
"Fique atento para a primeira oportunidade que surgir",
IF(AND(G13=0,LOWER(H13)="d",K13=0,LOWER(L13)="d"),
"Fique atento para a primeira oportunidade que surgir",
IF(AND(G13=1,LOWER(H13)="d",K13=1,LOWER(L13)="d"),
"Pelo menos uma vez",
IF(G13=0,"O dia inteiro",IF(G13=1,"Uma vez",TEXT(G13,"0")&amp;" vezes")&amp;" por "&amp;IF(LOWER(H13)="d","dia","semana"))
&amp;IF(AND(ISNUMBER(I13),I13&gt;0),", a cada "&amp;TEXT(I13,"0")&amp;" "&amp;IF(I13=1,IF(LOWER(J13)="d","dia","semana"),IF(LOWER(J13)="d","dias","semanas"))&amp;",","")
&amp;" por um período de "&amp;TEXT(K13,"0")&amp;" "&amp;IF(K13=1,IF(LOWER(L13)="d","dia","semana"),IF(LOWER(L13)="d","dias","semanas"))
)
)
)</f>
        <v/>
      </c>
      <c r="P13" t="inlineStr">
        <is>
          <t>A02</t>
        </is>
      </c>
      <c r="Q13" t="inlineStr">
        <is>
          <t>A02O06</t>
        </is>
      </c>
      <c r="R13" t="inlineStr">
        <is>
          <t>Apoiar os novos membros e visitantes</t>
        </is>
      </c>
      <c r="S13" t="n">
        <v>0.125</v>
      </c>
    </row>
    <row r="14">
      <c r="A14" s="2" t="inlineStr">
        <is>
          <t>Igreja</t>
        </is>
      </c>
      <c r="B14" s="2" t="inlineStr">
        <is>
          <t>Desafio</t>
        </is>
      </c>
      <c r="C14" s="2" t="inlineStr">
        <is>
          <t>Ensaiar e apresentar um hino/leitura responsiva.</t>
        </is>
      </c>
      <c r="D14" s="8" t="n">
        <v>2</v>
      </c>
      <c r="E14" s="8" t="n">
        <v>2</v>
      </c>
      <c r="F14" s="8" t="n">
        <v>3</v>
      </c>
      <c r="G14" s="9" t="n">
        <v>1</v>
      </c>
      <c r="H14" s="9" t="inlineStr">
        <is>
          <t>d</t>
        </is>
      </c>
      <c r="I14" s="9" t="n"/>
      <c r="J14" s="9" t="n"/>
      <c r="K14" s="9" t="n">
        <v>1</v>
      </c>
      <c r="L14" s="9" t="inlineStr">
        <is>
          <t>d</t>
        </is>
      </c>
      <c r="M14" s="9">
        <f>LEFT(A14,2)&amp;LEFT(B14,1)&amp;TEXT(F14,"000")&amp;"-"&amp;IF(
AND(G14="",H14="",K14="",L14=""),
"0d0d",
TEXT(G14,"0")&amp;LOWER(H14)&amp;TEXT(K14,"0")&amp;LOWER(L14)
)</f>
        <v/>
      </c>
      <c r="N14" s="9">
        <f>IF(B14="Básico",1,IF(B14="Desafio",2,IF(B14="Avançado",3)))</f>
        <v/>
      </c>
      <c r="O14" s="2">
        <f>IF(
AND(G14="",H14="",I14="",J14="",K14="",L14=""),
"Fique atento para a primeira oportunidade que surgir",
IF(AND(G14=0,LOWER(H14)="d",K14=0,LOWER(L14)="d"),
"Fique atento para a primeira oportunidade que surgir",
IF(AND(G14=1,LOWER(H14)="d",K14=1,LOWER(L14)="d"),
"Pelo menos uma vez",
IF(G14=0,"O dia inteiro",IF(G14=1,"Uma vez",TEXT(G14,"0")&amp;" vezes")&amp;" por "&amp;IF(LOWER(H14)="d","dia","semana"))
&amp;IF(AND(ISNUMBER(I14),I14&gt;0),", a cada "&amp;TEXT(I14,"0")&amp;" "&amp;IF(I14=1,IF(LOWER(J14)="d","dia","semana"),IF(LOWER(J14)="d","dias","semanas"))&amp;",","")
&amp;" por um período de "&amp;TEXT(K14,"0")&amp;" "&amp;IF(K14=1,IF(LOWER(L14)="d","dia","semana"),IF(LOWER(L14)="d","dias","semanas"))
)
)
)</f>
        <v/>
      </c>
      <c r="P14" t="inlineStr">
        <is>
          <t>A02</t>
        </is>
      </c>
      <c r="Q14" t="inlineStr">
        <is>
          <t>A02O01</t>
        </is>
      </c>
      <c r="R14" t="inlineStr">
        <is>
          <t>Frequentar os cultos com regularidade</t>
        </is>
      </c>
      <c r="S14" t="n">
        <v>0</v>
      </c>
    </row>
    <row r="15">
      <c r="A15" s="2" t="inlineStr">
        <is>
          <t>Igreja</t>
        </is>
      </c>
      <c r="B15" s="2" t="inlineStr">
        <is>
          <t>Desafio</t>
        </is>
      </c>
      <c r="C15" s="2" t="inlineStr">
        <is>
          <t>Visitar alguém ausente e levar uma palavra de ânimo.</t>
        </is>
      </c>
      <c r="D15" s="8" t="n">
        <v>2</v>
      </c>
      <c r="E15" s="8" t="n">
        <v>2</v>
      </c>
      <c r="F15" s="8" t="n">
        <v>4</v>
      </c>
      <c r="G15" s="9" t="n">
        <v>1</v>
      </c>
      <c r="H15" s="9" t="inlineStr">
        <is>
          <t>d</t>
        </is>
      </c>
      <c r="I15" s="9" t="n"/>
      <c r="J15" s="9" t="n"/>
      <c r="K15" s="9" t="n">
        <v>1</v>
      </c>
      <c r="L15" s="9" t="inlineStr">
        <is>
          <t>d</t>
        </is>
      </c>
      <c r="M15" s="9">
        <f>LEFT(A15,2)&amp;LEFT(B15,1)&amp;TEXT(F15,"000")&amp;"-"&amp;IF(
AND(G15="",H15="",K15="",L15=""),
"0d0d",
TEXT(G15,"0")&amp;LOWER(H15)&amp;TEXT(K15,"0")&amp;LOWER(L15)
)</f>
        <v/>
      </c>
      <c r="N15" s="9">
        <f>IF(B15="Básico",1,IF(B15="Desafio",2,IF(B15="Avançado",3)))</f>
        <v/>
      </c>
      <c r="O15" s="2">
        <f>IF(
AND(G15="",H15="",I15="",J15="",K15="",L15=""),
"Fique atento para a primeira oportunidade que surgir",
IF(AND(G15=0,LOWER(H15)="d",K15=0,LOWER(L15)="d"),
"Fique atento para a primeira oportunidade que surgir",
IF(AND(G15=1,LOWER(H15)="d",K15=1,LOWER(L15)="d"),
"Pelo menos uma vez",
IF(G15=0,"O dia inteiro",IF(G15=1,"Uma vez",TEXT(G15,"0")&amp;" vezes")&amp;" por "&amp;IF(LOWER(H15)="d","dia","semana"))
&amp;IF(AND(ISNUMBER(I15),I15&gt;0),", a cada "&amp;TEXT(I15,"0")&amp;" "&amp;IF(I15=1,IF(LOWER(J15)="d","dia","semana"),IF(LOWER(J15)="d","dias","semanas"))&amp;",","")
&amp;" por um período de "&amp;TEXT(K15,"0")&amp;" "&amp;IF(K15=1,IF(LOWER(L15)="d","dia","semana"),IF(LOWER(L15)="d","dias","semanas"))
)
)
)</f>
        <v/>
      </c>
      <c r="P15" t="inlineStr">
        <is>
          <t>A02</t>
        </is>
      </c>
      <c r="Q15" t="inlineStr">
        <is>
          <t>A02O01</t>
        </is>
      </c>
      <c r="R15" t="inlineStr">
        <is>
          <t>Frequentar os cultos com regularidade</t>
        </is>
      </c>
      <c r="S15" t="n">
        <v>0</v>
      </c>
    </row>
    <row r="16">
      <c r="A16" s="2" t="inlineStr">
        <is>
          <t>Igreja</t>
        </is>
      </c>
      <c r="B16" s="2" t="inlineStr">
        <is>
          <t>Desafio</t>
        </is>
      </c>
      <c r="C16" s="2" t="inlineStr">
        <is>
          <t>Participar da organização de um pequeno evento da igreja.</t>
        </is>
      </c>
      <c r="D16" s="8" t="n">
        <v>2</v>
      </c>
      <c r="E16" s="8" t="n">
        <v>2</v>
      </c>
      <c r="F16" s="8" t="n">
        <v>5</v>
      </c>
      <c r="G16" s="9" t="n">
        <v>1</v>
      </c>
      <c r="H16" s="9" t="inlineStr">
        <is>
          <t>d</t>
        </is>
      </c>
      <c r="I16" s="9" t="n"/>
      <c r="J16" s="9" t="n"/>
      <c r="K16" s="9" t="n">
        <v>1</v>
      </c>
      <c r="L16" s="9" t="inlineStr">
        <is>
          <t>d</t>
        </is>
      </c>
      <c r="M16" s="9">
        <f>LEFT(A16,2)&amp;LEFT(B16,1)&amp;TEXT(F16,"000")&amp;"-"&amp;IF(
AND(G16="",H16="",K16="",L16=""),
"0d0d",
TEXT(G16,"0")&amp;LOWER(H16)&amp;TEXT(K16,"0")&amp;LOWER(L16)
)</f>
        <v/>
      </c>
      <c r="N16" s="9">
        <f>IF(B16="Básico",1,IF(B16="Desafio",2,IF(B16="Avançado",3)))</f>
        <v/>
      </c>
      <c r="O16" s="2">
        <f>IF(
AND(G16="",H16="",I16="",J16="",K16="",L16=""),
"Fique atento para a primeira oportunidade que surgir",
IF(AND(G16=0,LOWER(H16)="d",K16=0,LOWER(L16)="d"),
"Fique atento para a primeira oportunidade que surgir",
IF(AND(G16=1,LOWER(H16)="d",K16=1,LOWER(L16)="d"),
"Pelo menos uma vez",
IF(G16=0,"O dia inteiro",IF(G16=1,"Uma vez",TEXT(G16,"0")&amp;" vezes")&amp;" por "&amp;IF(LOWER(H16)="d","dia","semana"))
&amp;IF(AND(ISNUMBER(I16),I16&gt;0),", a cada "&amp;TEXT(I16,"0")&amp;" "&amp;IF(I16=1,IF(LOWER(J16)="d","dia","semana"),IF(LOWER(J16)="d","dias","semanas"))&amp;",","")
&amp;" por um período de "&amp;TEXT(K16,"0")&amp;" "&amp;IF(K16=1,IF(LOWER(L16)="d","dia","semana"),IF(LOWER(L16)="d","dias","semanas"))
)
)
)</f>
        <v/>
      </c>
      <c r="P16" t="inlineStr">
        <is>
          <t>A02</t>
        </is>
      </c>
      <c r="Q16" t="inlineStr">
        <is>
          <t>A02O02</t>
        </is>
      </c>
      <c r="R16" t="inlineStr">
        <is>
          <t>Participar ativamente do ministério de jovens</t>
        </is>
      </c>
      <c r="S16" t="n">
        <v>0.125</v>
      </c>
    </row>
    <row r="17">
      <c r="A17" s="2" t="inlineStr">
        <is>
          <t>Igreja</t>
        </is>
      </c>
      <c r="B17" s="2" t="inlineStr">
        <is>
          <t>Desafio</t>
        </is>
      </c>
      <c r="C17" s="2" t="inlineStr">
        <is>
          <t>Fazer um estudo bíblico guiado de 20 minutos com alguém.</t>
        </is>
      </c>
      <c r="D17" s="8" t="n">
        <v>2</v>
      </c>
      <c r="E17" s="8" t="n">
        <v>2</v>
      </c>
      <c r="F17" s="8" t="n">
        <v>6</v>
      </c>
      <c r="G17" s="9" t="n">
        <v>1</v>
      </c>
      <c r="H17" s="9" t="inlineStr">
        <is>
          <t>d</t>
        </is>
      </c>
      <c r="I17" s="9" t="n">
        <v>7</v>
      </c>
      <c r="J17" s="9" t="inlineStr">
        <is>
          <t>d</t>
        </is>
      </c>
      <c r="K17" s="9" t="n">
        <v>30</v>
      </c>
      <c r="L17" s="9" t="inlineStr">
        <is>
          <t>d</t>
        </is>
      </c>
      <c r="M17" s="9">
        <f>LEFT(A17,2)&amp;LEFT(B17,1)&amp;TEXT(F17,"000")&amp;"-"&amp;IF(
AND(G17="",H17="",K17="",L17=""),
"0d0d",
TEXT(G17,"0")&amp;LOWER(H17)&amp;TEXT(K17,"0")&amp;LOWER(L17)
)</f>
        <v/>
      </c>
      <c r="N17" s="9">
        <f>IF(B17="Básico",1,IF(B17="Desafio",2,IF(B17="Avançado",3)))</f>
        <v/>
      </c>
      <c r="O17" s="2">
        <f>IF(
AND(G17="",H17="",I17="",J17="",K17="",L17=""),
"Fique atento para a primeira oportunidade que surgir",
IF(AND(G17=0,LOWER(H17)="d",K17=0,LOWER(L17)="d"),
"Fique atento para a primeira oportunidade que surgir",
IF(AND(G17=1,LOWER(H17)="d",K17=1,LOWER(L17)="d"),
"Pelo menos uma vez",
IF(G17=0,"O dia inteiro",IF(G17=1,"Uma vez",TEXT(G17,"0")&amp;" vezes")&amp;" por "&amp;IF(LOWER(H17)="d","dia","semana"))
&amp;IF(AND(ISNUMBER(I17),I17&gt;0),", a cada "&amp;TEXT(I17,"0")&amp;" "&amp;IF(I17=1,IF(LOWER(J17)="d","dia","semana"),IF(LOWER(J17)="d","dias","semanas"))&amp;",","")
&amp;" por um período de "&amp;TEXT(K17,"0")&amp;" "&amp;IF(K17=1,IF(LOWER(L17)="d","dia","semana"),IF(LOWER(L17)="d","dias","semanas"))
)
)
)</f>
        <v/>
      </c>
      <c r="P17" t="inlineStr">
        <is>
          <t>A02</t>
        </is>
      </c>
      <c r="Q17" t="inlineStr">
        <is>
          <t>A02O01</t>
        </is>
      </c>
      <c r="R17" t="inlineStr">
        <is>
          <t>Frequentar os cultos com regularidade</t>
        </is>
      </c>
      <c r="S17" t="n">
        <v>0</v>
      </c>
    </row>
    <row r="18">
      <c r="A18" s="2" t="inlineStr">
        <is>
          <t>Igreja</t>
        </is>
      </c>
      <c r="B18" s="2" t="inlineStr">
        <is>
          <t>Desafio</t>
        </is>
      </c>
      <c r="C18" s="2" t="inlineStr">
        <is>
          <t>Planejar e cumprir um plano semanal de leitura devocional.</t>
        </is>
      </c>
      <c r="D18" s="8" t="n">
        <v>2</v>
      </c>
      <c r="E18" s="8" t="n">
        <v>2</v>
      </c>
      <c r="F18" s="8" t="n">
        <v>7</v>
      </c>
      <c r="G18" s="9" t="n">
        <v>1</v>
      </c>
      <c r="H18" s="9" t="inlineStr">
        <is>
          <t>d</t>
        </is>
      </c>
      <c r="I18" s="9" t="n"/>
      <c r="J18" s="9" t="n"/>
      <c r="K18" s="9" t="n">
        <v>7</v>
      </c>
      <c r="L18" s="9" t="inlineStr">
        <is>
          <t>d</t>
        </is>
      </c>
      <c r="M18" s="9">
        <f>LEFT(A18,2)&amp;LEFT(B18,1)&amp;TEXT(F18,"000")&amp;"-"&amp;IF(
AND(G18="",H18="",K18="",L18=""),
"0d0d",
TEXT(G18,"0")&amp;LOWER(H18)&amp;TEXT(K18,"0")&amp;LOWER(L18)
)</f>
        <v/>
      </c>
      <c r="N18" s="9">
        <f>IF(B18="Básico",1,IF(B18="Desafio",2,IF(B18="Avançado",3)))</f>
        <v/>
      </c>
      <c r="O18" s="2">
        <f>IF(
AND(G18="",H18="",I18="",J18="",K18="",L18=""),
"Fique atento para a primeira oportunidade que surgir",
IF(AND(G18=0,LOWER(H18)="d",K18=0,LOWER(L18)="d"),
"Fique atento para a primeira oportunidade que surgir",
IF(AND(G18=1,LOWER(H18)="d",K18=1,LOWER(L18)="d"),
"Pelo menos uma vez",
IF(G18=0,"O dia inteiro",IF(G18=1,"Uma vez",TEXT(G18,"0")&amp;" vezes")&amp;" por "&amp;IF(LOWER(H18)="d","dia","semana"))
&amp;IF(AND(ISNUMBER(I18),I18&gt;0),", a cada "&amp;TEXT(I18,"0")&amp;" "&amp;IF(I18=1,IF(LOWER(J18)="d","dia","semana"),IF(LOWER(J18)="d","dias","semanas"))&amp;",","")
&amp;" por um período de "&amp;TEXT(K18,"0")&amp;" "&amp;IF(K18=1,IF(LOWER(L18)="d","dia","semana"),IF(LOWER(L18)="d","dias","semanas"))
)
)
)</f>
        <v/>
      </c>
      <c r="P18" t="inlineStr">
        <is>
          <t>A02</t>
        </is>
      </c>
      <c r="Q18" t="inlineStr">
        <is>
          <t>A02O01</t>
        </is>
      </c>
      <c r="R18" t="inlineStr">
        <is>
          <t>Frequentar os cultos com regularidade</t>
        </is>
      </c>
      <c r="S18" t="n">
        <v>0</v>
      </c>
    </row>
    <row r="19">
      <c r="A19" s="2" t="inlineStr">
        <is>
          <t>Igreja</t>
        </is>
      </c>
      <c r="B19" s="2" t="inlineStr">
        <is>
          <t>Desafio</t>
        </is>
      </c>
      <c r="C19" s="2" t="inlineStr">
        <is>
          <t>Levantar e registrar pedidos de oração ao longo da semana.</t>
        </is>
      </c>
      <c r="D19" s="8" t="n">
        <v>2</v>
      </c>
      <c r="E19" s="8" t="n">
        <v>2</v>
      </c>
      <c r="F19" s="8" t="n">
        <v>8</v>
      </c>
      <c r="G19" s="9" t="n">
        <v>1</v>
      </c>
      <c r="H19" s="9" t="inlineStr">
        <is>
          <t>d</t>
        </is>
      </c>
      <c r="I19" s="9" t="n">
        <v>3</v>
      </c>
      <c r="J19" s="9" t="inlineStr">
        <is>
          <t>d</t>
        </is>
      </c>
      <c r="K19" s="9" t="n">
        <v>7</v>
      </c>
      <c r="L19" s="9" t="inlineStr">
        <is>
          <t>d</t>
        </is>
      </c>
      <c r="M19" s="9">
        <f>LEFT(A19,2)&amp;LEFT(B19,1)&amp;TEXT(F19,"000")&amp;"-"&amp;IF(
AND(G19="",H19="",K19="",L19=""),
"0d0d",
TEXT(G19,"0")&amp;LOWER(H19)&amp;TEXT(K19,"0")&amp;LOWER(L19)
)</f>
        <v/>
      </c>
      <c r="N19" s="9">
        <f>IF(B19="Básico",1,IF(B19="Desafio",2,IF(B19="Avançado",3)))</f>
        <v/>
      </c>
      <c r="O19" s="2">
        <f>IF(
AND(G19="",H19="",I19="",J19="",K19="",L19=""),
"Fique atento para a primeira oportunidade que surgir",
IF(AND(G19=0,LOWER(H19)="d",K19=0,LOWER(L19)="d"),
"Fique atento para a primeira oportunidade que surgir",
IF(AND(G19=1,LOWER(H19)="d",K19=1,LOWER(L19)="d"),
"Pelo menos uma vez",
IF(G19=0,"O dia inteiro",IF(G19=1,"Uma vez",TEXT(G19,"0")&amp;" vezes")&amp;" por "&amp;IF(LOWER(H19)="d","dia","semana"))
&amp;IF(AND(ISNUMBER(I19),I19&gt;0),", a cada "&amp;TEXT(I19,"0")&amp;" "&amp;IF(I19=1,IF(LOWER(J19)="d","dia","semana"),IF(LOWER(J19)="d","dias","semanas"))&amp;",","")
&amp;" por um período de "&amp;TEXT(K19,"0")&amp;" "&amp;IF(K19=1,IF(LOWER(L19)="d","dia","semana"),IF(LOWER(L19)="d","dias","semanas"))
)
)
)</f>
        <v/>
      </c>
      <c r="P19" t="inlineStr">
        <is>
          <t>A02</t>
        </is>
      </c>
      <c r="Q19" t="inlineStr">
        <is>
          <t>A02O01</t>
        </is>
      </c>
      <c r="R19" t="inlineStr">
        <is>
          <t>Frequentar os cultos com regularidade</t>
        </is>
      </c>
      <c r="S19" t="n">
        <v>0</v>
      </c>
    </row>
    <row r="20">
      <c r="A20" s="2" t="inlineStr">
        <is>
          <t>Igreja</t>
        </is>
      </c>
      <c r="B20" s="2" t="inlineStr">
        <is>
          <t>Desafio</t>
        </is>
      </c>
      <c r="C20" s="2" t="inlineStr">
        <is>
          <t>Apoiar a mídia/sonoplastia como auxiliar.</t>
        </is>
      </c>
      <c r="D20" s="8" t="n">
        <v>2</v>
      </c>
      <c r="E20" s="8" t="n">
        <v>2</v>
      </c>
      <c r="F20" s="8" t="n">
        <v>9</v>
      </c>
      <c r="G20" s="9" t="n">
        <v>1</v>
      </c>
      <c r="H20" s="9" t="inlineStr">
        <is>
          <t>d</t>
        </is>
      </c>
      <c r="I20" s="9" t="n"/>
      <c r="J20" s="9" t="n"/>
      <c r="K20" s="9" t="n">
        <v>1</v>
      </c>
      <c r="L20" s="9" t="inlineStr">
        <is>
          <t>d</t>
        </is>
      </c>
      <c r="M20" s="9">
        <f>LEFT(A20,2)&amp;LEFT(B20,1)&amp;TEXT(F20,"000")&amp;"-"&amp;IF(
AND(G20="",H20="",K20="",L20=""),
"0d0d",
TEXT(G20,"0")&amp;LOWER(H20)&amp;TEXT(K20,"0")&amp;LOWER(L20)
)</f>
        <v/>
      </c>
      <c r="N20" s="9">
        <f>IF(B20="Básico",1,IF(B20="Desafio",2,IF(B20="Avançado",3)))</f>
        <v/>
      </c>
      <c r="O20" s="2">
        <f>IF(
AND(G20="",H20="",I20="",J20="",K20="",L20=""),
"Fique atento para a primeira oportunidade que surgir",
IF(AND(G20=0,LOWER(H20)="d",K20=0,LOWER(L20)="d"),
"Fique atento para a primeira oportunidade que surgir",
IF(AND(G20=1,LOWER(H20)="d",K20=1,LOWER(L20)="d"),
"Pelo menos uma vez",
IF(G20=0,"O dia inteiro",IF(G20=1,"Uma vez",TEXT(G20,"0")&amp;" vezes")&amp;" por "&amp;IF(LOWER(H20)="d","dia","semana"))
&amp;IF(AND(ISNUMBER(I20),I20&gt;0),", a cada "&amp;TEXT(I20,"0")&amp;" "&amp;IF(I20=1,IF(LOWER(J20)="d","dia","semana"),IF(LOWER(J20)="d","dias","semanas"))&amp;",","")
&amp;" por um período de "&amp;TEXT(K20,"0")&amp;" "&amp;IF(K20=1,IF(LOWER(L20)="d","dia","semana"),IF(LOWER(L20)="d","dias","semanas"))
)
)
)</f>
        <v/>
      </c>
      <c r="P20" t="inlineStr">
        <is>
          <t>A02</t>
        </is>
      </c>
      <c r="Q20" t="inlineStr">
        <is>
          <t>A02O06</t>
        </is>
      </c>
      <c r="R20" t="inlineStr">
        <is>
          <t>Apoiar os novos membros e visitantes</t>
        </is>
      </c>
      <c r="S20" t="n">
        <v>0.143</v>
      </c>
    </row>
    <row r="21">
      <c r="A21" s="2" t="inlineStr">
        <is>
          <t>Igreja</t>
        </is>
      </c>
      <c r="B21" s="2" t="inlineStr">
        <is>
          <t>Desafio</t>
        </is>
      </c>
      <c r="C21" s="2" t="inlineStr">
        <is>
          <t>Ajudar na limpeza/arrumação após um programa/culto na igreja</t>
        </is>
      </c>
      <c r="D21" s="8" t="n">
        <v>2</v>
      </c>
      <c r="E21" s="8" t="n">
        <v>2</v>
      </c>
      <c r="F21" s="8" t="n">
        <v>10</v>
      </c>
      <c r="G21" s="9" t="n">
        <v>1</v>
      </c>
      <c r="H21" s="9" t="inlineStr">
        <is>
          <t>d</t>
        </is>
      </c>
      <c r="I21" s="9" t="n"/>
      <c r="J21" s="9" t="n"/>
      <c r="K21" s="9" t="n">
        <v>1</v>
      </c>
      <c r="L21" s="9" t="inlineStr">
        <is>
          <t>d</t>
        </is>
      </c>
      <c r="M21" s="9">
        <f>LEFT(A21,2)&amp;LEFT(B21,1)&amp;TEXT(F21,"000")&amp;"-"&amp;IF(
AND(G21="",H21="",K21="",L21=""),
"0d0d",
TEXT(G21,"0")&amp;LOWER(H21)&amp;TEXT(K21,"0")&amp;LOWER(L21)
)</f>
        <v/>
      </c>
      <c r="N21" s="9">
        <f>IF(B21="Básico",1,IF(B21="Desafio",2,IF(B21="Avançado",3)))</f>
        <v/>
      </c>
      <c r="O21" s="2">
        <f>IF(
AND(G21="",H21="",I21="",J21="",K21="",L21=""),
"Fique atento para a primeira oportunidade que surgir",
IF(AND(G21=0,LOWER(H21)="d",K21=0,LOWER(L21)="d"),
"Fique atento para a primeira oportunidade que surgir",
IF(AND(G21=1,LOWER(H21)="d",K21=1,LOWER(L21)="d"),
"Pelo menos uma vez",
IF(G21=0,"O dia inteiro",IF(G21=1,"Uma vez",TEXT(G21,"0")&amp;" vezes")&amp;" por "&amp;IF(LOWER(H21)="d","dia","semana"))
&amp;IF(AND(ISNUMBER(I21),I21&gt;0),", a cada "&amp;TEXT(I21,"0")&amp;" "&amp;IF(I21=1,IF(LOWER(J21)="d","dia","semana"),IF(LOWER(J21)="d","dias","semanas"))&amp;",","")
&amp;" por um período de "&amp;TEXT(K21,"0")&amp;" "&amp;IF(K21=1,IF(LOWER(L21)="d","dia","semana"),IF(LOWER(L21)="d","dias","semanas"))
)
)
)</f>
        <v/>
      </c>
      <c r="P21" t="inlineStr">
        <is>
          <t>A02</t>
        </is>
      </c>
      <c r="Q21" t="inlineStr">
        <is>
          <t>A02O01</t>
        </is>
      </c>
      <c r="R21" t="inlineStr">
        <is>
          <t>Frequentar os cultos com regularidade</t>
        </is>
      </c>
      <c r="S21" t="n">
        <v>0.111</v>
      </c>
    </row>
    <row r="22">
      <c r="A22" s="2" t="inlineStr">
        <is>
          <t>Igreja</t>
        </is>
      </c>
      <c r="B22" s="2" t="inlineStr">
        <is>
          <t>Desafio</t>
        </is>
      </c>
      <c r="C22" s="2" t="inlineStr">
        <is>
          <t>Conduzir uma oração intercessória específica por alguém.</t>
        </is>
      </c>
      <c r="D22" s="8" t="n">
        <v>2</v>
      </c>
      <c r="E22" s="8" t="n">
        <v>2</v>
      </c>
      <c r="F22" s="8" t="n">
        <v>11</v>
      </c>
      <c r="G22" s="9" t="n">
        <v>1</v>
      </c>
      <c r="H22" s="9" t="inlineStr">
        <is>
          <t>d</t>
        </is>
      </c>
      <c r="I22" s="9" t="n"/>
      <c r="J22" s="9" t="n"/>
      <c r="K22" s="9" t="n">
        <v>1</v>
      </c>
      <c r="L22" s="9" t="inlineStr">
        <is>
          <t>d</t>
        </is>
      </c>
      <c r="M22" s="9">
        <f>LEFT(A22,2)&amp;LEFT(B22,1)&amp;TEXT(F22,"000")&amp;"-"&amp;IF(
AND(G22="",H22="",K22="",L22=""),
"0d0d",
TEXT(G22,"0")&amp;LOWER(H22)&amp;TEXT(K22,"0")&amp;LOWER(L22)
)</f>
        <v/>
      </c>
      <c r="N22" s="9">
        <f>IF(B22="Básico",1,IF(B22="Desafio",2,IF(B22="Avançado",3)))</f>
        <v/>
      </c>
      <c r="O22" s="2">
        <f>IF(
AND(G22="",H22="",I22="",J22="",K22="",L22=""),
"Fique atento para a primeira oportunidade que surgir",
IF(AND(G22=0,LOWER(H22)="d",K22=0,LOWER(L22)="d"),
"Fique atento para a primeira oportunidade que surgir",
IF(AND(G22=1,LOWER(H22)="d",K22=1,LOWER(L22)="d"),
"Pelo menos uma vez",
IF(G22=0,"O dia inteiro",IF(G22=1,"Uma vez",TEXT(G22,"0")&amp;" vezes")&amp;" por "&amp;IF(LOWER(H22)="d","dia","semana"))
&amp;IF(AND(ISNUMBER(I22),I22&gt;0),", a cada "&amp;TEXT(I22,"0")&amp;" "&amp;IF(I22=1,IF(LOWER(J22)="d","dia","semana"),IF(LOWER(J22)="d","dias","semanas"))&amp;",","")
&amp;" por um período de "&amp;TEXT(K22,"0")&amp;" "&amp;IF(K22=1,IF(LOWER(L22)="d","dia","semana"),IF(LOWER(L22)="d","dias","semanas"))
)
)
)</f>
        <v/>
      </c>
      <c r="P22" t="inlineStr">
        <is>
          <t>A02</t>
        </is>
      </c>
      <c r="Q22" t="inlineStr">
        <is>
          <t>A02O01</t>
        </is>
      </c>
      <c r="R22" t="inlineStr">
        <is>
          <t>Frequentar os cultos com regularidade</t>
        </is>
      </c>
      <c r="S22" t="n">
        <v>0</v>
      </c>
    </row>
    <row r="23">
      <c r="A23" s="2" t="inlineStr">
        <is>
          <t>Igreja</t>
        </is>
      </c>
      <c r="B23" s="2" t="inlineStr">
        <is>
          <t>Desafio</t>
        </is>
      </c>
      <c r="C23" s="2" t="inlineStr">
        <is>
          <t>Escrever e compartilhar um breve testemunho pessoal.</t>
        </is>
      </c>
      <c r="D23" s="8" t="n">
        <v>2</v>
      </c>
      <c r="E23" s="8" t="n">
        <v>2</v>
      </c>
      <c r="F23" s="8" t="n">
        <v>12</v>
      </c>
      <c r="G23" s="9" t="n">
        <v>1</v>
      </c>
      <c r="H23" s="9" t="inlineStr">
        <is>
          <t>d</t>
        </is>
      </c>
      <c r="I23" s="9" t="n"/>
      <c r="J23" s="9" t="n"/>
      <c r="K23" s="9" t="n">
        <v>1</v>
      </c>
      <c r="L23" s="9" t="inlineStr">
        <is>
          <t>d</t>
        </is>
      </c>
      <c r="M23" s="9">
        <f>LEFT(A23,2)&amp;LEFT(B23,1)&amp;TEXT(F23,"000")&amp;"-"&amp;IF(
AND(G23="",H23="",K23="",L23=""),
"0d0d",
TEXT(G23,"0")&amp;LOWER(H23)&amp;TEXT(K23,"0")&amp;LOWER(L23)
)</f>
        <v/>
      </c>
      <c r="N23" s="9">
        <f>IF(B23="Básico",1,IF(B23="Desafio",2,IF(B23="Avançado",3)))</f>
        <v/>
      </c>
      <c r="O23" s="2">
        <f>IF(
AND(G23="",H23="",I23="",J23="",K23="",L23=""),
"Fique atento para a primeira oportunidade que surgir",
IF(AND(G23=0,LOWER(H23)="d",K23=0,LOWER(L23)="d"),
"Fique atento para a primeira oportunidade que surgir",
IF(AND(G23=1,LOWER(H23)="d",K23=1,LOWER(L23)="d"),
"Pelo menos uma vez",
IF(G23=0,"O dia inteiro",IF(G23=1,"Uma vez",TEXT(G23,"0")&amp;" vezes")&amp;" por "&amp;IF(LOWER(H23)="d","dia","semana"))
&amp;IF(AND(ISNUMBER(I23),I23&gt;0),", a cada "&amp;TEXT(I23,"0")&amp;" "&amp;IF(I23=1,IF(LOWER(J23)="d","dia","semana"),IF(LOWER(J23)="d","dias","semanas"))&amp;",","")
&amp;" por um período de "&amp;TEXT(K23,"0")&amp;" "&amp;IF(K23=1,IF(LOWER(L23)="d","dia","semana"),IF(LOWER(L23)="d","dias","semanas"))
)
)
)</f>
        <v/>
      </c>
      <c r="P23" t="inlineStr">
        <is>
          <t>A02</t>
        </is>
      </c>
      <c r="Q23" t="inlineStr">
        <is>
          <t>A02O01</t>
        </is>
      </c>
      <c r="R23" t="inlineStr">
        <is>
          <t>Frequentar os cultos com regularidade</t>
        </is>
      </c>
      <c r="S23" t="n">
        <v>0</v>
      </c>
    </row>
    <row r="24">
      <c r="A24" s="2" t="inlineStr">
        <is>
          <t>Igreja</t>
        </is>
      </c>
      <c r="B24" s="2" t="inlineStr">
        <is>
          <t>Avançado</t>
        </is>
      </c>
      <c r="C24" s="2" t="inlineStr">
        <is>
          <t>Liderar pequeno grupo/PG por 3 encontros consecutivos.</t>
        </is>
      </c>
      <c r="D24" s="8" t="n">
        <v>2</v>
      </c>
      <c r="E24" s="8" t="n">
        <v>3</v>
      </c>
      <c r="F24" s="8" t="n">
        <v>1</v>
      </c>
      <c r="G24" s="9" t="n">
        <v>1</v>
      </c>
      <c r="H24" s="9" t="inlineStr">
        <is>
          <t>d</t>
        </is>
      </c>
      <c r="I24" s="9" t="n">
        <v>7</v>
      </c>
      <c r="J24" s="9" t="inlineStr">
        <is>
          <t>d</t>
        </is>
      </c>
      <c r="K24" s="9" t="n">
        <v>30</v>
      </c>
      <c r="L24" s="9" t="inlineStr">
        <is>
          <t>d</t>
        </is>
      </c>
      <c r="M24" s="9">
        <f>LEFT(A24,2)&amp;LEFT(B24,1)&amp;TEXT(F24,"000")&amp;"-"&amp;IF(
AND(G24="",H24="",K24="",L24=""),
"0d0d",
TEXT(G24,"0")&amp;LOWER(H24)&amp;TEXT(K24,"0")&amp;LOWER(L24)
)</f>
        <v/>
      </c>
      <c r="N24" s="9">
        <f>IF(B24="Básico",1,IF(B24="Desafio",2,IF(B24="Avançado",3)))</f>
        <v/>
      </c>
      <c r="O24" s="2">
        <f>IF(
AND(G24="",H24="",I24="",J24="",K24="",L24=""),
"Fique atento para a primeira oportunidade que surgir",
IF(AND(G24=0,LOWER(H24)="d",K24=0,LOWER(L24)="d"),
"Fique atento para a primeira oportunidade que surgir",
IF(AND(G24=1,LOWER(H24)="d",K24=1,LOWER(L24)="d"),
"Pelo menos uma vez",
IF(G24=0,"O dia inteiro",IF(G24=1,"Uma vez",TEXT(G24,"0")&amp;" vezes")&amp;" por "&amp;IF(LOWER(H24)="d","dia","semana"))
&amp;IF(AND(ISNUMBER(I24),I24&gt;0),", a cada "&amp;TEXT(I24,"0")&amp;" "&amp;IF(I24=1,IF(LOWER(J24)="d","dia","semana"),IF(LOWER(J24)="d","dias","semanas"))&amp;",","")
&amp;" por um período de "&amp;TEXT(K24,"0")&amp;" "&amp;IF(K24=1,IF(LOWER(L24)="d","dia","semana"),IF(LOWER(L24)="d","dias","semanas"))
)
)
)</f>
        <v/>
      </c>
      <c r="P24" t="inlineStr">
        <is>
          <t>A02</t>
        </is>
      </c>
      <c r="Q24" t="inlineStr">
        <is>
          <t>A02O01</t>
        </is>
      </c>
      <c r="R24" t="inlineStr">
        <is>
          <t>Frequentar os cultos com regularidade</t>
        </is>
      </c>
      <c r="S24" t="n">
        <v>0</v>
      </c>
    </row>
    <row r="25">
      <c r="A25" s="2" t="inlineStr">
        <is>
          <t>Igreja</t>
        </is>
      </c>
      <c r="B25" s="2" t="inlineStr">
        <is>
          <t>Avançado</t>
        </is>
      </c>
      <c r="C25" s="2" t="inlineStr">
        <is>
          <t>Preparar e conduzir uma meditação de 10–15 minutos.</t>
        </is>
      </c>
      <c r="D25" s="8" t="n">
        <v>2</v>
      </c>
      <c r="E25" s="8" t="n">
        <v>3</v>
      </c>
      <c r="F25" s="8" t="n">
        <v>2</v>
      </c>
      <c r="G25" s="9" t="n">
        <v>1</v>
      </c>
      <c r="H25" s="9" t="inlineStr">
        <is>
          <t>d</t>
        </is>
      </c>
      <c r="I25" s="9" t="n"/>
      <c r="J25" s="9" t="n"/>
      <c r="K25" s="9" t="n">
        <v>1</v>
      </c>
      <c r="L25" s="9" t="inlineStr">
        <is>
          <t>d</t>
        </is>
      </c>
      <c r="M25" s="9">
        <f>LEFT(A25,2)&amp;LEFT(B25,1)&amp;TEXT(F25,"000")&amp;"-"&amp;IF(
AND(G25="",H25="",K25="",L25=""),
"0d0d",
TEXT(G25,"0")&amp;LOWER(H25)&amp;TEXT(K25,"0")&amp;LOWER(L25)
)</f>
        <v/>
      </c>
      <c r="N25" s="9">
        <f>IF(B25="Básico",1,IF(B25="Desafio",2,IF(B25="Avançado",3)))</f>
        <v/>
      </c>
      <c r="O25" s="2">
        <f>IF(
AND(G25="",H25="",I25="",J25="",K25="",L25=""),
"Fique atento para a primeira oportunidade que surgir",
IF(AND(G25=0,LOWER(H25)="d",K25=0,LOWER(L25)="d"),
"Fique atento para a primeira oportunidade que surgir",
IF(AND(G25=1,LOWER(H25)="d",K25=1,LOWER(L25)="d"),
"Pelo menos uma vez",
IF(G25=0,"O dia inteiro",IF(G25=1,"Uma vez",TEXT(G25,"0")&amp;" vezes")&amp;" por "&amp;IF(LOWER(H25)="d","dia","semana"))
&amp;IF(AND(ISNUMBER(I25),I25&gt;0),", a cada "&amp;TEXT(I25,"0")&amp;" "&amp;IF(I25=1,IF(LOWER(J25)="d","dia","semana"),IF(LOWER(J25)="d","dias","semanas"))&amp;",","")
&amp;" por um período de "&amp;TEXT(K25,"0")&amp;" "&amp;IF(K25=1,IF(LOWER(L25)="d","dia","semana"),IF(LOWER(L25)="d","dias","semanas"))
)
)
)</f>
        <v/>
      </c>
      <c r="P25" t="inlineStr">
        <is>
          <t>A02</t>
        </is>
      </c>
      <c r="Q25" t="inlineStr">
        <is>
          <t>A02O01</t>
        </is>
      </c>
      <c r="R25" t="inlineStr">
        <is>
          <t>Frequentar os cultos com regularidade</t>
        </is>
      </c>
      <c r="S25" t="n">
        <v>0</v>
      </c>
    </row>
    <row r="26">
      <c r="A26" s="2" t="inlineStr">
        <is>
          <t>Igreja</t>
        </is>
      </c>
      <c r="B26" s="2" t="inlineStr">
        <is>
          <t>Avançado</t>
        </is>
      </c>
      <c r="C26" s="2" t="inlineStr">
        <is>
          <t>Organizar e executar uma ação missionária simples.</t>
        </is>
      </c>
      <c r="D26" s="8" t="n">
        <v>2</v>
      </c>
      <c r="E26" s="8" t="n">
        <v>3</v>
      </c>
      <c r="F26" s="8" t="n">
        <v>3</v>
      </c>
      <c r="G26" s="9" t="n">
        <v>1</v>
      </c>
      <c r="H26" s="9" t="inlineStr">
        <is>
          <t>d</t>
        </is>
      </c>
      <c r="I26" s="9" t="n"/>
      <c r="J26" s="9" t="n"/>
      <c r="K26" s="9" t="n">
        <v>1</v>
      </c>
      <c r="L26" s="9" t="inlineStr">
        <is>
          <t>d</t>
        </is>
      </c>
      <c r="M26" s="9">
        <f>LEFT(A26,2)&amp;LEFT(B26,1)&amp;TEXT(F26,"000")&amp;"-"&amp;IF(
AND(G26="",H26="",K26="",L26=""),
"0d0d",
TEXT(G26,"0")&amp;LOWER(H26)&amp;TEXT(K26,"0")&amp;LOWER(L26)
)</f>
        <v/>
      </c>
      <c r="N26" s="9">
        <f>IF(B26="Básico",1,IF(B26="Desafio",2,IF(B26="Avançado",3)))</f>
        <v/>
      </c>
      <c r="O26" s="2">
        <f>IF(
AND(G26="",H26="",I26="",J26="",K26="",L26=""),
"Fique atento para a primeira oportunidade que surgir",
IF(AND(G26=0,LOWER(H26)="d",K26=0,LOWER(L26)="d"),
"Fique atento para a primeira oportunidade que surgir",
IF(AND(G26=1,LOWER(H26)="d",K26=1,LOWER(L26)="d"),
"Pelo menos uma vez",
IF(G26=0,"O dia inteiro",IF(G26=1,"Uma vez",TEXT(G26,"0")&amp;" vezes")&amp;" por "&amp;IF(LOWER(H26)="d","dia","semana"))
&amp;IF(AND(ISNUMBER(I26),I26&gt;0),", a cada "&amp;TEXT(I26,"0")&amp;" "&amp;IF(I26=1,IF(LOWER(J26)="d","dia","semana"),IF(LOWER(J26)="d","dias","semanas"))&amp;",","")
&amp;" por um período de "&amp;TEXT(K26,"0")&amp;" "&amp;IF(K26=1,IF(LOWER(L26)="d","dia","semana"),IF(LOWER(L26)="d","dias","semanas"))
)
)
)</f>
        <v/>
      </c>
      <c r="P26" t="inlineStr">
        <is>
          <t>A02</t>
        </is>
      </c>
      <c r="Q26" t="inlineStr">
        <is>
          <t>A02O01</t>
        </is>
      </c>
      <c r="R26" t="inlineStr">
        <is>
          <t>Frequentar os cultos com regularidade</t>
        </is>
      </c>
      <c r="S26" t="n">
        <v>0</v>
      </c>
    </row>
    <row r="27">
      <c r="A27" s="2" t="inlineStr">
        <is>
          <t>Igreja</t>
        </is>
      </c>
      <c r="B27" s="2" t="inlineStr">
        <is>
          <t>Avançado</t>
        </is>
      </c>
      <c r="C27" s="2" t="inlineStr">
        <is>
          <t>Coordenar logística de um programa (escala, materiais, tempo).</t>
        </is>
      </c>
      <c r="D27" s="8" t="n">
        <v>2</v>
      </c>
      <c r="E27" s="8" t="n">
        <v>3</v>
      </c>
      <c r="F27" s="8" t="n">
        <v>4</v>
      </c>
      <c r="G27" s="9" t="n">
        <v>1</v>
      </c>
      <c r="H27" s="9" t="inlineStr">
        <is>
          <t>d</t>
        </is>
      </c>
      <c r="I27" s="9" t="n"/>
      <c r="J27" s="9" t="n"/>
      <c r="K27" s="9" t="n">
        <v>1</v>
      </c>
      <c r="L27" s="9" t="inlineStr">
        <is>
          <t>d</t>
        </is>
      </c>
      <c r="M27" s="9">
        <f>LEFT(A27,2)&amp;LEFT(B27,1)&amp;TEXT(F27,"000")&amp;"-"&amp;IF(
AND(G27="",H27="",K27="",L27=""),
"0d0d",
TEXT(G27,"0")&amp;LOWER(H27)&amp;TEXT(K27,"0")&amp;LOWER(L27)
)</f>
        <v/>
      </c>
      <c r="N27" s="9">
        <f>IF(B27="Básico",1,IF(B27="Desafio",2,IF(B27="Avançado",3)))</f>
        <v/>
      </c>
      <c r="O27" s="2">
        <f>IF(
AND(G27="",H27="",I27="",J27="",K27="",L27=""),
"Fique atento para a primeira oportunidade que surgir",
IF(AND(G27=0,LOWER(H27)="d",K27=0,LOWER(L27)="d"),
"Fique atento para a primeira oportunidade que surgir",
IF(AND(G27=1,LOWER(H27)="d",K27=1,LOWER(L27)="d"),
"Pelo menos uma vez",
IF(G27=0,"O dia inteiro",IF(G27=1,"Uma vez",TEXT(G27,"0")&amp;" vezes")&amp;" por "&amp;IF(LOWER(H27)="d","dia","semana"))
&amp;IF(AND(ISNUMBER(I27),I27&gt;0),", a cada "&amp;TEXT(I27,"0")&amp;" "&amp;IF(I27=1,IF(LOWER(J27)="d","dia","semana"),IF(LOWER(J27)="d","dias","semanas"))&amp;",","")
&amp;" por um período de "&amp;TEXT(K27,"0")&amp;" "&amp;IF(K27=1,IF(LOWER(L27)="d","dia","semana"),IF(LOWER(L27)="d","dias","semanas"))
)
)
)</f>
        <v/>
      </c>
      <c r="P27" t="inlineStr">
        <is>
          <t>A02</t>
        </is>
      </c>
      <c r="Q27" t="inlineStr">
        <is>
          <t>A02O01</t>
        </is>
      </c>
      <c r="R27" t="inlineStr">
        <is>
          <t>Frequentar os cultos com regularidade</t>
        </is>
      </c>
      <c r="S27" t="n">
        <v>0</v>
      </c>
    </row>
    <row r="28">
      <c r="A28" s="2" t="inlineStr">
        <is>
          <t>Igreja</t>
        </is>
      </c>
      <c r="B28" s="2" t="inlineStr">
        <is>
          <t>Avançado</t>
        </is>
      </c>
      <c r="C28" s="2" t="inlineStr">
        <is>
          <t>Acompanhar discipulado de 1 pessoa por 3 semanas.</t>
        </is>
      </c>
      <c r="D28" s="8" t="n">
        <v>2</v>
      </c>
      <c r="E28" s="8" t="n">
        <v>3</v>
      </c>
      <c r="F28" s="8" t="n">
        <v>5</v>
      </c>
      <c r="G28" s="9" t="n">
        <v>1</v>
      </c>
      <c r="H28" s="9" t="inlineStr">
        <is>
          <t>d</t>
        </is>
      </c>
      <c r="I28" s="9" t="n">
        <v>7</v>
      </c>
      <c r="J28" s="9" t="inlineStr">
        <is>
          <t>d</t>
        </is>
      </c>
      <c r="K28" s="9" t="n">
        <v>21</v>
      </c>
      <c r="L28" s="9" t="inlineStr">
        <is>
          <t>d</t>
        </is>
      </c>
      <c r="M28" s="9">
        <f>LEFT(A28,2)&amp;LEFT(B28,1)&amp;TEXT(F28,"000")&amp;"-"&amp;IF(
AND(G28="",H28="",K28="",L28=""),
"0d0d",
TEXT(G28,"0")&amp;LOWER(H28)&amp;TEXT(K28,"0")&amp;LOWER(L28)
)</f>
        <v/>
      </c>
      <c r="N28" s="9">
        <f>IF(B28="Básico",1,IF(B28="Desafio",2,IF(B28="Avançado",3)))</f>
        <v/>
      </c>
      <c r="O28" s="2">
        <f>IF(
AND(G28="",H28="",I28="",J28="",K28="",L28=""),
"Fique atento para a primeira oportunidade que surgir",
IF(AND(G28=0,LOWER(H28)="d",K28=0,LOWER(L28)="d"),
"Fique atento para a primeira oportunidade que surgir",
IF(AND(G28=1,LOWER(H28)="d",K28=1,LOWER(L28)="d"),
"Pelo menos uma vez",
IF(G28=0,"O dia inteiro",IF(G28=1,"Uma vez",TEXT(G28,"0")&amp;" vezes")&amp;" por "&amp;IF(LOWER(H28)="d","dia","semana"))
&amp;IF(AND(ISNUMBER(I28),I28&gt;0),", a cada "&amp;TEXT(I28,"0")&amp;" "&amp;IF(I28=1,IF(LOWER(J28)="d","dia","semana"),IF(LOWER(J28)="d","dias","semanas"))&amp;",","")
&amp;" por um período de "&amp;TEXT(K28,"0")&amp;" "&amp;IF(K28=1,IF(LOWER(L28)="d","dia","semana"),IF(LOWER(L28)="d","dias","semanas"))
)
)
)</f>
        <v/>
      </c>
      <c r="P28" t="inlineStr">
        <is>
          <t>A02</t>
        </is>
      </c>
      <c r="Q28" t="inlineStr">
        <is>
          <t>A02O01</t>
        </is>
      </c>
      <c r="R28" t="inlineStr">
        <is>
          <t>Frequentar os cultos com regularidade</t>
        </is>
      </c>
      <c r="S28" t="n">
        <v>0</v>
      </c>
    </row>
    <row r="29">
      <c r="A29" s="2" t="inlineStr">
        <is>
          <t>Igreja</t>
        </is>
      </c>
      <c r="B29" s="2" t="inlineStr">
        <is>
          <t>Avançado</t>
        </is>
      </c>
      <c r="C29" s="2" t="inlineStr">
        <is>
          <t>Elaborar e cumprir plano de leitura bíblica diário.</t>
        </is>
      </c>
      <c r="D29" s="8" t="n">
        <v>2</v>
      </c>
      <c r="E29" s="8" t="n">
        <v>3</v>
      </c>
      <c r="F29" s="8" t="n">
        <v>6</v>
      </c>
      <c r="G29" s="9" t="n">
        <v>1</v>
      </c>
      <c r="H29" s="9" t="inlineStr">
        <is>
          <t>d</t>
        </is>
      </c>
      <c r="I29" s="9" t="n"/>
      <c r="J29" s="9" t="n"/>
      <c r="K29" s="9" t="n">
        <v>30</v>
      </c>
      <c r="L29" s="9" t="inlineStr">
        <is>
          <t>d</t>
        </is>
      </c>
      <c r="M29" s="9">
        <f>LEFT(A29,2)&amp;LEFT(B29,1)&amp;TEXT(F29,"000")&amp;"-"&amp;IF(
AND(G29="",H29="",K29="",L29=""),
"0d0d",
TEXT(G29,"0")&amp;LOWER(H29)&amp;TEXT(K29,"0")&amp;LOWER(L29)
)</f>
        <v/>
      </c>
      <c r="N29" s="9">
        <f>IF(B29="Básico",1,IF(B29="Desafio",2,IF(B29="Avançado",3)))</f>
        <v/>
      </c>
      <c r="O29" s="2">
        <f>IF(
AND(G29="",H29="",I29="",J29="",K29="",L29=""),
"Fique atento para a primeira oportunidade que surgir",
IF(AND(G29=0,LOWER(H29)="d",K29=0,LOWER(L29)="d"),
"Fique atento para a primeira oportunidade que surgir",
IF(AND(G29=1,LOWER(H29)="d",K29=1,LOWER(L29)="d"),
"Pelo menos uma vez",
IF(G29=0,"O dia inteiro",IF(G29=1,"Uma vez",TEXT(G29,"0")&amp;" vezes")&amp;" por "&amp;IF(LOWER(H29)="d","dia","semana"))
&amp;IF(AND(ISNUMBER(I29),I29&gt;0),", a cada "&amp;TEXT(I29,"0")&amp;" "&amp;IF(I29=1,IF(LOWER(J29)="d","dia","semana"),IF(LOWER(J29)="d","dias","semanas"))&amp;",","")
&amp;" por um período de "&amp;TEXT(K29,"0")&amp;" "&amp;IF(K29=1,IF(LOWER(L29)="d","dia","semana"),IF(LOWER(L29)="d","dias","semanas"))
)
)
)</f>
        <v/>
      </c>
      <c r="P29" t="inlineStr">
        <is>
          <t>A02</t>
        </is>
      </c>
      <c r="Q29" t="inlineStr">
        <is>
          <t>A02O01</t>
        </is>
      </c>
      <c r="R29" t="inlineStr">
        <is>
          <t>Frequentar os cultos com regularidade</t>
        </is>
      </c>
      <c r="S29" t="n">
        <v>0</v>
      </c>
    </row>
    <row r="30">
      <c r="A30" s="2" t="inlineStr">
        <is>
          <t>Igreja</t>
        </is>
      </c>
      <c r="B30" s="2" t="inlineStr">
        <is>
          <t>Avançado</t>
        </is>
      </c>
      <c r="C30" s="2" t="inlineStr">
        <is>
          <t>Treinar e atuar em equipe de recepção/acolhimento.</t>
        </is>
      </c>
      <c r="D30" s="8" t="n">
        <v>2</v>
      </c>
      <c r="E30" s="8" t="n">
        <v>3</v>
      </c>
      <c r="F30" s="8" t="n">
        <v>7</v>
      </c>
      <c r="G30" s="9" t="n">
        <v>1</v>
      </c>
      <c r="H30" s="9" t="inlineStr">
        <is>
          <t>d</t>
        </is>
      </c>
      <c r="I30" s="9" t="n">
        <v>7</v>
      </c>
      <c r="J30" s="9" t="inlineStr">
        <is>
          <t>d</t>
        </is>
      </c>
      <c r="K30" s="9" t="n">
        <v>30</v>
      </c>
      <c r="L30" s="9" t="inlineStr">
        <is>
          <t>d</t>
        </is>
      </c>
      <c r="M30" s="9">
        <f>LEFT(A30,2)&amp;LEFT(B30,1)&amp;TEXT(F30,"000")&amp;"-"&amp;IF(
AND(G30="",H30="",K30="",L30=""),
"0d0d",
TEXT(G30,"0")&amp;LOWER(H30)&amp;TEXT(K30,"0")&amp;LOWER(L30)
)</f>
        <v/>
      </c>
      <c r="N30" s="9">
        <f>IF(B30="Básico",1,IF(B30="Desafio",2,IF(B30="Avançado",3)))</f>
        <v/>
      </c>
      <c r="O30" s="2">
        <f>IF(
AND(G30="",H30="",I30="",J30="",K30="",L30=""),
"Fique atento para a primeira oportunidade que surgir",
IF(AND(G30=0,LOWER(H30)="d",K30=0,LOWER(L30)="d"),
"Fique atento para a primeira oportunidade que surgir",
IF(AND(G30=1,LOWER(H30)="d",K30=1,LOWER(L30)="d"),
"Pelo menos uma vez",
IF(G30=0,"O dia inteiro",IF(G30=1,"Uma vez",TEXT(G30,"0")&amp;" vezes")&amp;" por "&amp;IF(LOWER(H30)="d","dia","semana"))
&amp;IF(AND(ISNUMBER(I30),I30&gt;0),", a cada "&amp;TEXT(I30,"0")&amp;" "&amp;IF(I30=1,IF(LOWER(J30)="d","dia","semana"),IF(LOWER(J30)="d","dias","semanas"))&amp;",","")
&amp;" por um período de "&amp;TEXT(K30,"0")&amp;" "&amp;IF(K30=1,IF(LOWER(L30)="d","dia","semana"),IF(LOWER(L30)="d","dias","semanas"))
)
)
)</f>
        <v/>
      </c>
      <c r="P30" t="inlineStr">
        <is>
          <t>A02</t>
        </is>
      </c>
      <c r="Q30" t="inlineStr">
        <is>
          <t>A02O01</t>
        </is>
      </c>
      <c r="R30" t="inlineStr">
        <is>
          <t>Frequentar os cultos com regularidade</t>
        </is>
      </c>
      <c r="S30" t="n">
        <v>0</v>
      </c>
    </row>
    <row r="31">
      <c r="A31" s="2" t="inlineStr">
        <is>
          <t>Igreja</t>
        </is>
      </c>
      <c r="B31" s="2" t="inlineStr">
        <is>
          <t>Avançado</t>
        </is>
      </c>
      <c r="C31" s="2" t="inlineStr">
        <is>
          <t>Produzir uma série de 3 posts devocionais.</t>
        </is>
      </c>
      <c r="D31" s="8" t="n">
        <v>2</v>
      </c>
      <c r="E31" s="8" t="n">
        <v>3</v>
      </c>
      <c r="F31" s="8" t="n">
        <v>8</v>
      </c>
      <c r="G31" s="9" t="n">
        <v>1</v>
      </c>
      <c r="H31" s="9" t="inlineStr">
        <is>
          <t>d</t>
        </is>
      </c>
      <c r="I31" s="9" t="n"/>
      <c r="J31" s="9" t="n"/>
      <c r="K31" s="9" t="n">
        <v>3</v>
      </c>
      <c r="L31" s="9" t="inlineStr">
        <is>
          <t>d</t>
        </is>
      </c>
      <c r="M31" s="9">
        <f>LEFT(A31,2)&amp;LEFT(B31,1)&amp;TEXT(F31,"000")&amp;"-"&amp;IF(
AND(G31="",H31="",K31="",L31=""),
"0d0d",
TEXT(G31,"0")&amp;LOWER(H31)&amp;TEXT(K31,"0")&amp;LOWER(L31)
)</f>
        <v/>
      </c>
      <c r="N31" s="9">
        <f>IF(B31="Básico",1,IF(B31="Desafio",2,IF(B31="Avançado",3)))</f>
        <v/>
      </c>
      <c r="O31" s="2">
        <f>IF(
AND(G31="",H31="",I31="",J31="",K31="",L31=""),
"Fique atento para a primeira oportunidade que surgir",
IF(AND(G31=0,LOWER(H31)="d",K31=0,LOWER(L31)="d"),
"Fique atento para a primeira oportunidade que surgir",
IF(AND(G31=1,LOWER(H31)="d",K31=1,LOWER(L31)="d"),
"Pelo menos uma vez",
IF(G31=0,"O dia inteiro",IF(G31=1,"Uma vez",TEXT(G31,"0")&amp;" vezes")&amp;" por "&amp;IF(LOWER(H31)="d","dia","semana"))
&amp;IF(AND(ISNUMBER(I31),I31&gt;0),", a cada "&amp;TEXT(I31,"0")&amp;" "&amp;IF(I31=1,IF(LOWER(J31)="d","dia","semana"),IF(LOWER(J31)="d","dias","semanas"))&amp;",","")
&amp;" por um período de "&amp;TEXT(K31,"0")&amp;" "&amp;IF(K31=1,IF(LOWER(L31)="d","dia","semana"),IF(LOWER(L31)="d","dias","semanas"))
)
)
)</f>
        <v/>
      </c>
      <c r="P31" t="inlineStr">
        <is>
          <t>A02</t>
        </is>
      </c>
      <c r="Q31" t="inlineStr">
        <is>
          <t>A02O01</t>
        </is>
      </c>
      <c r="R31" t="inlineStr">
        <is>
          <t>Frequentar os cultos com regularidade</t>
        </is>
      </c>
      <c r="S31" t="n">
        <v>0</v>
      </c>
    </row>
    <row r="32">
      <c r="A32" s="2" t="inlineStr">
        <is>
          <t>Igreja</t>
        </is>
      </c>
      <c r="B32" s="2" t="inlineStr">
        <is>
          <t>Avançado</t>
        </is>
      </c>
      <c r="C32" s="2" t="inlineStr">
        <is>
          <t>Criar roteiro e conduzir oração de intercessão em cadeia.</t>
        </is>
      </c>
      <c r="D32" s="8" t="n">
        <v>2</v>
      </c>
      <c r="E32" s="8" t="n">
        <v>3</v>
      </c>
      <c r="F32" s="8" t="n">
        <v>9</v>
      </c>
      <c r="G32" s="9" t="n">
        <v>1</v>
      </c>
      <c r="H32" s="9" t="inlineStr">
        <is>
          <t>d</t>
        </is>
      </c>
      <c r="I32" s="9" t="n">
        <v>7</v>
      </c>
      <c r="J32" s="9" t="inlineStr">
        <is>
          <t>d</t>
        </is>
      </c>
      <c r="K32" s="9" t="n">
        <v>60</v>
      </c>
      <c r="L32" s="9" t="inlineStr">
        <is>
          <t>d</t>
        </is>
      </c>
      <c r="M32" s="9">
        <f>LEFT(A32,2)&amp;LEFT(B32,1)&amp;TEXT(F32,"000")&amp;"-"&amp;IF(
AND(G32="",H32="",K32="",L32=""),
"0d0d",
TEXT(G32,"0")&amp;LOWER(H32)&amp;TEXT(K32,"0")&amp;LOWER(L32)
)</f>
        <v/>
      </c>
      <c r="N32" s="9">
        <f>IF(B32="Básico",1,IF(B32="Desafio",2,IF(B32="Avançado",3)))</f>
        <v/>
      </c>
      <c r="O32" s="2">
        <f>IF(
AND(G32="",H32="",I32="",J32="",K32="",L32=""),
"Fique atento para a primeira oportunidade que surgir",
IF(AND(G32=0,LOWER(H32)="d",K32=0,LOWER(L32)="d"),
"Fique atento para a primeira oportunidade que surgir",
IF(AND(G32=1,LOWER(H32)="d",K32=1,LOWER(L32)="d"),
"Pelo menos uma vez",
IF(G32=0,"O dia inteiro",IF(G32=1,"Uma vez",TEXT(G32,"0")&amp;" vezes")&amp;" por "&amp;IF(LOWER(H32)="d","dia","semana"))
&amp;IF(AND(ISNUMBER(I32),I32&gt;0),", a cada "&amp;TEXT(I32,"0")&amp;" "&amp;IF(I32=1,IF(LOWER(J32)="d","dia","semana"),IF(LOWER(J32)="d","dias","semanas"))&amp;",","")
&amp;" por um período de "&amp;TEXT(K32,"0")&amp;" "&amp;IF(K32=1,IF(LOWER(L32)="d","dia","semana"),IF(LOWER(L32)="d","dias","semanas"))
)
)
)</f>
        <v/>
      </c>
      <c r="P32" t="inlineStr">
        <is>
          <t>A02</t>
        </is>
      </c>
      <c r="Q32" t="inlineStr">
        <is>
          <t>A02O01</t>
        </is>
      </c>
      <c r="R32" t="inlineStr">
        <is>
          <t>Frequentar os cultos com regularidade</t>
        </is>
      </c>
      <c r="S32" t="n">
        <v>0</v>
      </c>
    </row>
    <row r="33">
      <c r="A33" s="2" t="inlineStr">
        <is>
          <t>Igreja</t>
        </is>
      </c>
      <c r="B33" s="2" t="inlineStr">
        <is>
          <t>Avançado</t>
        </is>
      </c>
      <c r="C33" s="2" t="inlineStr">
        <is>
          <t>Servir em ministério infantil por 6 sábados seguidos.</t>
        </is>
      </c>
      <c r="D33" s="8" t="n">
        <v>2</v>
      </c>
      <c r="E33" s="8" t="n">
        <v>3</v>
      </c>
      <c r="F33" s="8" t="n">
        <v>10</v>
      </c>
      <c r="G33" s="9" t="n">
        <v>1</v>
      </c>
      <c r="H33" s="9" t="inlineStr">
        <is>
          <t>d</t>
        </is>
      </c>
      <c r="I33" s="9" t="n">
        <v>7</v>
      </c>
      <c r="J33" s="9" t="inlineStr">
        <is>
          <t>d</t>
        </is>
      </c>
      <c r="K33" s="9" t="n">
        <v>60</v>
      </c>
      <c r="L33" s="9" t="inlineStr">
        <is>
          <t>d</t>
        </is>
      </c>
      <c r="M33" s="9">
        <f>LEFT(A33,2)&amp;LEFT(B33,1)&amp;TEXT(F33,"000")&amp;"-"&amp;IF(
AND(G33="",H33="",K33="",L33=""),
"0d0d",
TEXT(G33,"0")&amp;LOWER(H33)&amp;TEXT(K33,"0")&amp;LOWER(L33)
)</f>
        <v/>
      </c>
      <c r="N33" s="9">
        <f>IF(B33="Básico",1,IF(B33="Desafio",2,IF(B33="Avançado",3)))</f>
        <v/>
      </c>
      <c r="O33" s="2">
        <f>IF(
AND(G33="",H33="",I33="",J33="",K33="",L33=""),
"Fique atento para a primeira oportunidade que surgir",
IF(AND(G33=0,LOWER(H33)="d",K33=0,LOWER(L33)="d"),
"Fique atento para a primeira oportunidade que surgir",
IF(AND(G33=1,LOWER(H33)="d",K33=1,LOWER(L33)="d"),
"Pelo menos uma vez",
IF(G33=0,"O dia inteiro",IF(G33=1,"Uma vez",TEXT(G33,"0")&amp;" vezes")&amp;" por "&amp;IF(LOWER(H33)="d","dia","semana"))
&amp;IF(AND(ISNUMBER(I33),I33&gt;0),", a cada "&amp;TEXT(I33,"0")&amp;" "&amp;IF(I33=1,IF(LOWER(J33)="d","dia","semana"),IF(LOWER(J33)="d","dias","semanas"))&amp;",","")
&amp;" por um período de "&amp;TEXT(K33,"0")&amp;" "&amp;IF(K33=1,IF(LOWER(L33)="d","dia","semana"),IF(LOWER(L33)="d","dias","semanas"))
)
)
)</f>
        <v/>
      </c>
      <c r="P33" t="inlineStr">
        <is>
          <t>A02</t>
        </is>
      </c>
      <c r="Q33" t="inlineStr">
        <is>
          <t>A02O03</t>
        </is>
      </c>
      <c r="R33" t="inlineStr">
        <is>
          <t>Servir em algum ministério da igreja</t>
        </is>
      </c>
      <c r="S33" t="n">
        <v>0.286</v>
      </c>
    </row>
    <row r="34">
      <c r="A34" s="2" t="inlineStr">
        <is>
          <t>Igreja</t>
        </is>
      </c>
      <c r="B34" s="2" t="inlineStr">
        <is>
          <t>Avançado</t>
        </is>
      </c>
      <c r="C34" s="2" t="inlineStr">
        <is>
          <t>Pesquisar doutrina/tema e apresentar síntese em 10 minutos.</t>
        </is>
      </c>
      <c r="D34" s="8" t="n">
        <v>2</v>
      </c>
      <c r="E34" s="8" t="n">
        <v>3</v>
      </c>
      <c r="F34" s="8" t="n">
        <v>11</v>
      </c>
      <c r="G34" s="9" t="n">
        <v>1</v>
      </c>
      <c r="H34" s="9" t="inlineStr">
        <is>
          <t>d</t>
        </is>
      </c>
      <c r="I34" s="9" t="n"/>
      <c r="J34" s="9" t="n"/>
      <c r="K34" s="9" t="n">
        <v>1</v>
      </c>
      <c r="L34" s="9" t="inlineStr">
        <is>
          <t>d</t>
        </is>
      </c>
      <c r="M34" s="9">
        <f>LEFT(A34,2)&amp;LEFT(B34,1)&amp;TEXT(F34,"000")&amp;"-"&amp;IF(
AND(G34="",H34="",K34="",L34=""),
"0d0d",
TEXT(G34,"0")&amp;LOWER(H34)&amp;TEXT(K34,"0")&amp;LOWER(L34)
)</f>
        <v/>
      </c>
      <c r="N34" s="9">
        <f>IF(B34="Básico",1,IF(B34="Desafio",2,IF(B34="Avançado",3)))</f>
        <v/>
      </c>
      <c r="O34" s="2">
        <f>IF(
AND(G34="",H34="",I34="",J34="",K34="",L34=""),
"Fique atento para a primeira oportunidade que surgir",
IF(AND(G34=0,LOWER(H34)="d",K34=0,LOWER(L34)="d"),
"Fique atento para a primeira oportunidade que surgir",
IF(AND(G34=1,LOWER(H34)="d",K34=1,LOWER(L34)="d"),
"Pelo menos uma vez",
IF(G34=0,"O dia inteiro",IF(G34=1,"Uma vez",TEXT(G34,"0")&amp;" vezes")&amp;" por "&amp;IF(LOWER(H34)="d","dia","semana"))
&amp;IF(AND(ISNUMBER(I34),I34&gt;0),", a cada "&amp;TEXT(I34,"0")&amp;" "&amp;IF(I34=1,IF(LOWER(J34)="d","dia","semana"),IF(LOWER(J34)="d","dias","semanas"))&amp;",","")
&amp;" por um período de "&amp;TEXT(K34,"0")&amp;" "&amp;IF(K34=1,IF(LOWER(L34)="d","dia","semana"),IF(LOWER(L34)="d","dias","semanas"))
)
)
)</f>
        <v/>
      </c>
      <c r="P34" t="inlineStr">
        <is>
          <t>A02</t>
        </is>
      </c>
      <c r="Q34" t="inlineStr">
        <is>
          <t>A02O01</t>
        </is>
      </c>
      <c r="R34" t="inlineStr">
        <is>
          <t>Frequentar os cultos com regularidade</t>
        </is>
      </c>
      <c r="S34" t="n">
        <v>0</v>
      </c>
    </row>
    <row r="35">
      <c r="A35" s="2" t="inlineStr">
        <is>
          <t>Igreja</t>
        </is>
      </c>
      <c r="B35" s="2" t="inlineStr">
        <is>
          <t>Avançado</t>
        </is>
      </c>
      <c r="C35" s="2" t="inlineStr">
        <is>
          <t>Apoiar ou liderar ensaio musical com organização de repertório.</t>
        </is>
      </c>
      <c r="D35" s="8" t="n">
        <v>2</v>
      </c>
      <c r="E35" s="8" t="n">
        <v>3</v>
      </c>
      <c r="F35" s="8" t="n">
        <v>12</v>
      </c>
      <c r="G35" s="9" t="n">
        <v>1</v>
      </c>
      <c r="H35" s="9" t="inlineStr">
        <is>
          <t>d</t>
        </is>
      </c>
      <c r="I35" s="9" t="n"/>
      <c r="J35" s="9" t="n"/>
      <c r="K35" s="9" t="n">
        <v>1</v>
      </c>
      <c r="L35" s="9" t="inlineStr">
        <is>
          <t>d</t>
        </is>
      </c>
      <c r="M35" s="9">
        <f>LEFT(A35,2)&amp;LEFT(B35,1)&amp;TEXT(F35,"000")&amp;"-"&amp;IF(
AND(G35="",H35="",K35="",L35=""),
"0d0d",
TEXT(G35,"0")&amp;LOWER(H35)&amp;TEXT(K35,"0")&amp;LOWER(L35)
)</f>
        <v/>
      </c>
      <c r="N35" s="9">
        <f>IF(B35="Básico",1,IF(B35="Desafio",2,IF(B35="Avançado",3)))</f>
        <v/>
      </c>
      <c r="O35" s="2">
        <f>IF(
AND(G35="",H35="",I35="",J35="",K35="",L35=""),
"Fique atento para a primeira oportunidade que surgir",
IF(AND(G35=0,LOWER(H35)="d",K35=0,LOWER(L35)="d"),
"Fique atento para a primeira oportunidade que surgir",
IF(AND(G35=1,LOWER(H35)="d",K35=1,LOWER(L35)="d"),
"Pelo menos uma vez",
IF(G35=0,"O dia inteiro",IF(G35=1,"Uma vez",TEXT(G35,"0")&amp;" vezes")&amp;" por "&amp;IF(LOWER(H35)="d","dia","semana"))
&amp;IF(AND(ISNUMBER(I35),I35&gt;0),", a cada "&amp;TEXT(I35,"0")&amp;" "&amp;IF(I35=1,IF(LOWER(J35)="d","dia","semana"),IF(LOWER(J35)="d","dias","semanas"))&amp;",","")
&amp;" por um período de "&amp;TEXT(K35,"0")&amp;" "&amp;IF(K35=1,IF(LOWER(L35)="d","dia","semana"),IF(LOWER(L35)="d","dias","semanas"))
)
)
)</f>
        <v/>
      </c>
      <c r="P35" t="inlineStr">
        <is>
          <t>A02</t>
        </is>
      </c>
      <c r="Q35" t="inlineStr">
        <is>
          <t>A02O06</t>
        </is>
      </c>
      <c r="R35" t="inlineStr">
        <is>
          <t>Apoiar os novos membros e visitantes</t>
        </is>
      </c>
      <c r="S35" t="n">
        <v>0.111</v>
      </c>
    </row>
    <row r="36">
      <c r="A36" s="2" t="inlineStr">
        <is>
          <t>Igreja</t>
        </is>
      </c>
      <c r="B36" s="2" t="inlineStr">
        <is>
          <t>Avançado</t>
        </is>
      </c>
      <c r="C36" s="2" t="inlineStr">
        <is>
          <t>Mapear talentos do grupo e propor escala de participação.</t>
        </is>
      </c>
      <c r="D36" s="8" t="n">
        <v>2</v>
      </c>
      <c r="E36" s="8" t="n">
        <v>3</v>
      </c>
      <c r="F36" s="8" t="n">
        <v>13</v>
      </c>
      <c r="G36" s="9" t="n">
        <v>1</v>
      </c>
      <c r="H36" s="9" t="inlineStr">
        <is>
          <t>d</t>
        </is>
      </c>
      <c r="I36" s="9" t="n"/>
      <c r="J36" s="9" t="n"/>
      <c r="K36" s="9" t="n">
        <v>1</v>
      </c>
      <c r="L36" s="9" t="inlineStr">
        <is>
          <t>d</t>
        </is>
      </c>
      <c r="M36" s="9">
        <f>LEFT(A36,2)&amp;LEFT(B36,1)&amp;TEXT(F36,"000")&amp;"-"&amp;IF(
AND(G36="",H36="",K36="",L36=""),
"0d0d",
TEXT(G36,"0")&amp;LOWER(H36)&amp;TEXT(K36,"0")&amp;LOWER(L36)
)</f>
        <v/>
      </c>
      <c r="N36" s="9">
        <f>IF(B36="Básico",1,IF(B36="Desafio",2,IF(B36="Avançado",3)))</f>
        <v/>
      </c>
      <c r="O36" s="2">
        <f>IF(
AND(G36="",H36="",I36="",J36="",K36="",L36=""),
"Fique atento para a primeira oportunidade que surgir",
IF(AND(G36=0,LOWER(H36)="d",K36=0,LOWER(L36)="d"),
"Fique atento para a primeira oportunidade que surgir",
IF(AND(G36=1,LOWER(H36)="d",K36=1,LOWER(L36)="d"),
"Pelo menos uma vez",
IF(G36=0,"O dia inteiro",IF(G36=1,"Uma vez",TEXT(G36,"0")&amp;" vezes")&amp;" por "&amp;IF(LOWER(H36)="d","dia","semana"))
&amp;IF(AND(ISNUMBER(I36),I36&gt;0),", a cada "&amp;TEXT(I36,"0")&amp;" "&amp;IF(I36=1,IF(LOWER(J36)="d","dia","semana"),IF(LOWER(J36)="d","dias","semanas"))&amp;",","")
&amp;" por um período de "&amp;TEXT(K36,"0")&amp;" "&amp;IF(K36=1,IF(LOWER(L36)="d","dia","semana"),IF(LOWER(L36)="d","dias","semanas"))
)
)
)</f>
        <v/>
      </c>
      <c r="P36" t="inlineStr">
        <is>
          <t>A02</t>
        </is>
      </c>
      <c r="Q36" t="inlineStr">
        <is>
          <t>A02O01</t>
        </is>
      </c>
      <c r="R36" t="inlineStr">
        <is>
          <t>Frequentar os cultos com regularidade</t>
        </is>
      </c>
      <c r="S36" t="n">
        <v>0</v>
      </c>
    </row>
    <row r="37">
      <c r="A37" s="2" t="inlineStr">
        <is>
          <t>Igreja</t>
        </is>
      </c>
      <c r="B37" s="2" t="inlineStr">
        <is>
          <t>Avançado</t>
        </is>
      </c>
      <c r="C37" s="2" t="inlineStr">
        <is>
          <t>Fazer visitação a enfermo/idoso com planejamento e registros.</t>
        </is>
      </c>
      <c r="D37" s="8" t="n">
        <v>2</v>
      </c>
      <c r="E37" s="8" t="n">
        <v>3</v>
      </c>
      <c r="F37" s="8" t="n">
        <v>14</v>
      </c>
      <c r="G37" s="9" t="n">
        <v>1</v>
      </c>
      <c r="H37" s="9" t="inlineStr">
        <is>
          <t>d</t>
        </is>
      </c>
      <c r="I37" s="9" t="n">
        <v>7</v>
      </c>
      <c r="J37" s="9" t="inlineStr">
        <is>
          <t>d</t>
        </is>
      </c>
      <c r="K37" s="9" t="n">
        <v>30</v>
      </c>
      <c r="L37" s="9" t="inlineStr">
        <is>
          <t>d</t>
        </is>
      </c>
      <c r="M37" s="9">
        <f>LEFT(A37,2)&amp;LEFT(B37,1)&amp;TEXT(F37,"000")&amp;"-"&amp;IF(
AND(G37="",H37="",K37="",L37=""),
"0d0d",
TEXT(G37,"0")&amp;LOWER(H37)&amp;TEXT(K37,"0")&amp;LOWER(L37)
)</f>
        <v/>
      </c>
      <c r="N37" s="9">
        <f>IF(B37="Básico",1,IF(B37="Desafio",2,IF(B37="Avançado",3)))</f>
        <v/>
      </c>
      <c r="O37" s="2">
        <f>IF(
AND(G37="",H37="",I37="",J37="",K37="",L37=""),
"Fique atento para a primeira oportunidade que surgir",
IF(AND(G37=0,LOWER(H37)="d",K37=0,LOWER(L37)="d"),
"Fique atento para a primeira oportunidade que surgir",
IF(AND(G37=1,LOWER(H37)="d",K37=1,LOWER(L37)="d"),
"Pelo menos uma vez",
IF(G37=0,"O dia inteiro",IF(G37=1,"Uma vez",TEXT(G37,"0")&amp;" vezes")&amp;" por "&amp;IF(LOWER(H37)="d","dia","semana"))
&amp;IF(AND(ISNUMBER(I37),I37&gt;0),", a cada "&amp;TEXT(I37,"0")&amp;" "&amp;IF(I37=1,IF(LOWER(J37)="d","dia","semana"),IF(LOWER(J37)="d","dias","semanas"))&amp;",","")
&amp;" por um período de "&amp;TEXT(K37,"0")&amp;" "&amp;IF(K37=1,IF(LOWER(L37)="d","dia","semana"),IF(LOWER(L37)="d","dias","semanas"))
)
)
)</f>
        <v/>
      </c>
      <c r="P37" t="inlineStr">
        <is>
          <t>A02</t>
        </is>
      </c>
      <c r="Q37" t="inlineStr">
        <is>
          <t>A02O01</t>
        </is>
      </c>
      <c r="R37" t="inlineStr">
        <is>
          <t>Frequentar os cultos com regularidade</t>
        </is>
      </c>
      <c r="S37" t="n">
        <v>0</v>
      </c>
    </row>
    <row r="38">
      <c r="A38" s="2" t="inlineStr">
        <is>
          <t>Igreja</t>
        </is>
      </c>
      <c r="B38" s="2" t="inlineStr">
        <is>
          <t>Avançado</t>
        </is>
      </c>
      <c r="C38" s="2" t="inlineStr">
        <is>
          <t>Conduzir feedback respeitoso para melhoria de um ministério.</t>
        </is>
      </c>
      <c r="D38" s="8" t="n">
        <v>2</v>
      </c>
      <c r="E38" s="8" t="n">
        <v>3</v>
      </c>
      <c r="F38" s="8" t="n">
        <v>15</v>
      </c>
      <c r="G38" s="9" t="n">
        <v>1</v>
      </c>
      <c r="H38" s="9" t="inlineStr">
        <is>
          <t>d</t>
        </is>
      </c>
      <c r="I38" s="9" t="n"/>
      <c r="J38" s="9" t="n"/>
      <c r="K38" s="9" t="n">
        <v>1</v>
      </c>
      <c r="L38" s="9" t="inlineStr">
        <is>
          <t>d</t>
        </is>
      </c>
      <c r="M38" s="9">
        <f>LEFT(A38,2)&amp;LEFT(B38,1)&amp;TEXT(F38,"000")&amp;"-"&amp;IF(
AND(G38="",H38="",K38="",L38=""),
"0d0d",
TEXT(G38,"0")&amp;LOWER(H38)&amp;TEXT(K38,"0")&amp;LOWER(L38)
)</f>
        <v/>
      </c>
      <c r="N38" s="9">
        <f>IF(B38="Básico",1,IF(B38="Desafio",2,IF(B38="Avançado",3)))</f>
        <v/>
      </c>
      <c r="O38" s="2">
        <f>IF(
AND(G38="",H38="",I38="",J38="",K38="",L38=""),
"Fique atento para a primeira oportunidade que surgir",
IF(AND(G38=0,LOWER(H38)="d",K38=0,LOWER(L38)="d"),
"Fique atento para a primeira oportunidade que surgir",
IF(AND(G38=1,LOWER(H38)="d",K38=1,LOWER(L38)="d"),
"Pelo menos uma vez",
IF(G38=0,"O dia inteiro",IF(G38=1,"Uma vez",TEXT(G38,"0")&amp;" vezes")&amp;" por "&amp;IF(LOWER(H38)="d","dia","semana"))
&amp;IF(AND(ISNUMBER(I38),I38&gt;0),", a cada "&amp;TEXT(I38,"0")&amp;" "&amp;IF(I38=1,IF(LOWER(J38)="d","dia","semana"),IF(LOWER(J38)="d","dias","semanas"))&amp;",","")
&amp;" por um período de "&amp;TEXT(K38,"0")&amp;" "&amp;IF(K38=1,IF(LOWER(L38)="d","dia","semana"),IF(LOWER(L38)="d","dias","semanas"))
)
)
)</f>
        <v/>
      </c>
      <c r="P38" t="inlineStr">
        <is>
          <t>A02</t>
        </is>
      </c>
      <c r="Q38" t="inlineStr">
        <is>
          <t>A02O02</t>
        </is>
      </c>
      <c r="R38" t="inlineStr">
        <is>
          <t>Participar ativamente do ministério de jovens</t>
        </is>
      </c>
      <c r="S38" t="n">
        <v>0.125</v>
      </c>
    </row>
    <row r="40">
      <c r="A40" s="4" t="n"/>
      <c r="B40" s="4" t="n"/>
    </row>
  </sheetData>
  <dataValidations disablePrompts="1" count="1">
    <dataValidation sqref="G2:G1037 I2:I1037 K2:K1037" showErrorMessage="1" showInputMessage="1" allowBlank="1" errorTitle="Número inválido" error="Informe um número inteiro maior ou igual a 0" type="whole" operator="greaterThanOrEqual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Wanderley</dc:creator>
  <dcterms:created xmlns:dcterms="http://purl.org/dc/terms/" xmlns:xsi="http://www.w3.org/2001/XMLSchema-instance" xsi:type="dcterms:W3CDTF">2025-09-12T11:35:00Z</dcterms:created>
  <dcterms:modified xmlns:dcterms="http://purl.org/dc/terms/" xmlns:xsi="http://www.w3.org/2001/XMLSchema-instance" xsi:type="dcterms:W3CDTF">2025-12-07T14:41:47Z</dcterms:modified>
  <cp:lastModifiedBy>Wanderley Gazeta</cp:lastModifiedBy>
</cp:coreProperties>
</file>