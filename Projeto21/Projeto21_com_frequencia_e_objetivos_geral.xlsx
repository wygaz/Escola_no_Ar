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nderley\Apps\escola_no_ar_site\Projeto21\"/>
    </mc:Choice>
  </mc:AlternateContent>
  <xr:revisionPtr revIDLastSave="0" documentId="13_ncr:1_{A4523BF8-8037-4B97-BE31-44211699C01E}" xr6:coauthVersionLast="47" xr6:coauthVersionMax="47" xr10:uidLastSave="{00000000-0000-0000-0000-000000000000}"/>
  <bookViews>
    <workbookView xWindow="-120" yWindow="-120" windowWidth="20730" windowHeight="11160" firstSheet="2" activeTab="2" xr2:uid="{00000000-000D-0000-FFFF-FFFF00000000}"/>
  </bookViews>
  <sheets>
    <sheet name="Resumo &amp; Instruções" sheetId="1" r:id="rId1"/>
    <sheet name="_DV" sheetId="2" state="hidden" r:id="rId2"/>
    <sheet name="Gera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24" i="3" l="1"/>
  <c r="N224" i="3"/>
  <c r="M224" i="3"/>
  <c r="O223" i="3"/>
  <c r="N223" i="3"/>
  <c r="M223" i="3"/>
  <c r="O222" i="3"/>
  <c r="N222" i="3"/>
  <c r="M222" i="3"/>
  <c r="O221" i="3"/>
  <c r="N221" i="3"/>
  <c r="M221" i="3"/>
  <c r="O220" i="3"/>
  <c r="N220" i="3"/>
  <c r="M220" i="3"/>
  <c r="O219" i="3"/>
  <c r="N219" i="3"/>
  <c r="M219" i="3"/>
  <c r="O218" i="3"/>
  <c r="N218" i="3"/>
  <c r="M218" i="3"/>
  <c r="O217" i="3"/>
  <c r="N217" i="3"/>
  <c r="M217" i="3"/>
  <c r="O216" i="3"/>
  <c r="N216" i="3"/>
  <c r="M216" i="3"/>
  <c r="O215" i="3"/>
  <c r="N215" i="3"/>
  <c r="M215" i="3"/>
  <c r="O214" i="3"/>
  <c r="N214" i="3"/>
  <c r="M214" i="3"/>
  <c r="O213" i="3"/>
  <c r="N213" i="3"/>
  <c r="M213" i="3"/>
  <c r="O212" i="3"/>
  <c r="N212" i="3"/>
  <c r="M212" i="3"/>
  <c r="O211" i="3"/>
  <c r="N211" i="3"/>
  <c r="M211" i="3"/>
  <c r="O210" i="3"/>
  <c r="N210" i="3"/>
  <c r="M210" i="3"/>
  <c r="O209" i="3"/>
  <c r="N209" i="3"/>
  <c r="M209" i="3"/>
  <c r="O208" i="3"/>
  <c r="N208" i="3"/>
  <c r="M208" i="3"/>
  <c r="O207" i="3"/>
  <c r="N207" i="3"/>
  <c r="M207" i="3"/>
  <c r="O206" i="3"/>
  <c r="N206" i="3"/>
  <c r="M206" i="3"/>
  <c r="O205" i="3"/>
  <c r="N205" i="3"/>
  <c r="M205" i="3"/>
  <c r="O204" i="3"/>
  <c r="N204" i="3"/>
  <c r="M204" i="3"/>
  <c r="O203" i="3"/>
  <c r="N203" i="3"/>
  <c r="M203" i="3"/>
  <c r="O202" i="3"/>
  <c r="N202" i="3"/>
  <c r="M202" i="3"/>
  <c r="O201" i="3"/>
  <c r="N201" i="3"/>
  <c r="M201" i="3"/>
  <c r="O200" i="3"/>
  <c r="N200" i="3"/>
  <c r="M200" i="3"/>
  <c r="O199" i="3"/>
  <c r="N199" i="3"/>
  <c r="M199" i="3"/>
  <c r="O198" i="3"/>
  <c r="N198" i="3"/>
  <c r="M198" i="3"/>
  <c r="O197" i="3"/>
  <c r="N197" i="3"/>
  <c r="M197" i="3"/>
  <c r="O196" i="3"/>
  <c r="N196" i="3"/>
  <c r="M196" i="3"/>
  <c r="O195" i="3"/>
  <c r="N195" i="3"/>
  <c r="M195" i="3"/>
  <c r="O194" i="3"/>
  <c r="N194" i="3"/>
  <c r="M194" i="3"/>
  <c r="O193" i="3"/>
  <c r="N193" i="3"/>
  <c r="M193" i="3"/>
  <c r="O192" i="3"/>
  <c r="N192" i="3"/>
  <c r="M192" i="3"/>
  <c r="O191" i="3"/>
  <c r="N191" i="3"/>
  <c r="M191" i="3"/>
  <c r="O190" i="3"/>
  <c r="N190" i="3"/>
  <c r="M190" i="3"/>
  <c r="O189" i="3"/>
  <c r="N189" i="3"/>
  <c r="M189" i="3"/>
  <c r="O188" i="3"/>
  <c r="N188" i="3"/>
  <c r="M188" i="3"/>
  <c r="O187" i="3"/>
  <c r="N187" i="3"/>
  <c r="M187" i="3"/>
  <c r="O186" i="3"/>
  <c r="N186" i="3"/>
  <c r="M186" i="3"/>
  <c r="O185" i="3"/>
  <c r="N185" i="3"/>
  <c r="M185" i="3"/>
  <c r="O184" i="3"/>
  <c r="N184" i="3"/>
  <c r="M184" i="3"/>
  <c r="O183" i="3"/>
  <c r="N183" i="3"/>
  <c r="M183" i="3"/>
  <c r="O182" i="3"/>
  <c r="N182" i="3"/>
  <c r="M182" i="3"/>
  <c r="O181" i="3"/>
  <c r="N181" i="3"/>
  <c r="M181" i="3"/>
  <c r="O180" i="3"/>
  <c r="N180" i="3"/>
  <c r="M180" i="3"/>
  <c r="O179" i="3"/>
  <c r="N179" i="3"/>
  <c r="M179" i="3"/>
  <c r="O178" i="3"/>
  <c r="N178" i="3"/>
  <c r="M178" i="3"/>
  <c r="O177" i="3"/>
  <c r="N177" i="3"/>
  <c r="M177" i="3"/>
  <c r="O176" i="3"/>
  <c r="N176" i="3"/>
  <c r="M176" i="3"/>
  <c r="O175" i="3"/>
  <c r="N175" i="3"/>
  <c r="M175" i="3"/>
  <c r="O174" i="3"/>
  <c r="N174" i="3"/>
  <c r="M174" i="3"/>
  <c r="O173" i="3"/>
  <c r="N173" i="3"/>
  <c r="M173" i="3"/>
  <c r="O172" i="3"/>
  <c r="N172" i="3"/>
  <c r="M172" i="3"/>
  <c r="O171" i="3"/>
  <c r="N171" i="3"/>
  <c r="M171" i="3"/>
  <c r="O170" i="3"/>
  <c r="N170" i="3"/>
  <c r="M170" i="3"/>
  <c r="O169" i="3"/>
  <c r="N169" i="3"/>
  <c r="M169" i="3"/>
  <c r="O168" i="3"/>
  <c r="N168" i="3"/>
  <c r="M168" i="3"/>
  <c r="O167" i="3"/>
  <c r="N167" i="3"/>
  <c r="M167" i="3"/>
  <c r="O166" i="3"/>
  <c r="N166" i="3"/>
  <c r="M166" i="3"/>
  <c r="O165" i="3"/>
  <c r="N165" i="3"/>
  <c r="M165" i="3"/>
  <c r="O164" i="3"/>
  <c r="N164" i="3"/>
  <c r="M164" i="3"/>
  <c r="O163" i="3"/>
  <c r="N163" i="3"/>
  <c r="M163" i="3"/>
  <c r="O162" i="3"/>
  <c r="N162" i="3"/>
  <c r="M162" i="3"/>
  <c r="O161" i="3"/>
  <c r="N161" i="3"/>
  <c r="M161" i="3"/>
  <c r="O160" i="3"/>
  <c r="N160" i="3"/>
  <c r="M160" i="3"/>
  <c r="O159" i="3"/>
  <c r="N159" i="3"/>
  <c r="M159" i="3"/>
  <c r="O158" i="3"/>
  <c r="N158" i="3"/>
  <c r="M158" i="3"/>
  <c r="O157" i="3"/>
  <c r="N157" i="3"/>
  <c r="M157" i="3"/>
  <c r="O156" i="3"/>
  <c r="N156" i="3"/>
  <c r="M156" i="3"/>
  <c r="O155" i="3"/>
  <c r="N155" i="3"/>
  <c r="M155" i="3"/>
  <c r="O154" i="3"/>
  <c r="N154" i="3"/>
  <c r="M154" i="3"/>
  <c r="O153" i="3"/>
  <c r="N153" i="3"/>
  <c r="M153" i="3"/>
  <c r="O152" i="3"/>
  <c r="N152" i="3"/>
  <c r="M152" i="3"/>
  <c r="O151" i="3"/>
  <c r="N151" i="3"/>
  <c r="M151" i="3"/>
  <c r="O150" i="3"/>
  <c r="N150" i="3"/>
  <c r="M150" i="3"/>
  <c r="O149" i="3"/>
  <c r="N149" i="3"/>
  <c r="M149" i="3"/>
  <c r="O148" i="3"/>
  <c r="N148" i="3"/>
  <c r="M148" i="3"/>
  <c r="O147" i="3"/>
  <c r="N147" i="3"/>
  <c r="M147" i="3"/>
  <c r="O146" i="3"/>
  <c r="N146" i="3"/>
  <c r="M146" i="3"/>
  <c r="O145" i="3"/>
  <c r="N145" i="3"/>
  <c r="M145" i="3"/>
  <c r="O144" i="3"/>
  <c r="N144" i="3"/>
  <c r="M144" i="3"/>
  <c r="O143" i="3"/>
  <c r="N143" i="3"/>
  <c r="M143" i="3"/>
  <c r="O142" i="3"/>
  <c r="N142" i="3"/>
  <c r="M142" i="3"/>
  <c r="O141" i="3"/>
  <c r="N141" i="3"/>
  <c r="M141" i="3"/>
  <c r="O140" i="3"/>
  <c r="N140" i="3"/>
  <c r="M140" i="3"/>
  <c r="O139" i="3"/>
  <c r="N139" i="3"/>
  <c r="M139" i="3"/>
  <c r="O138" i="3"/>
  <c r="N138" i="3"/>
  <c r="M138" i="3"/>
  <c r="O137" i="3"/>
  <c r="N137" i="3"/>
  <c r="M137" i="3"/>
  <c r="O136" i="3"/>
  <c r="N136" i="3"/>
  <c r="M136" i="3"/>
  <c r="O135" i="3"/>
  <c r="N135" i="3"/>
  <c r="M135" i="3"/>
  <c r="O134" i="3"/>
  <c r="N134" i="3"/>
  <c r="M134" i="3"/>
  <c r="O133" i="3"/>
  <c r="N133" i="3"/>
  <c r="M133" i="3"/>
  <c r="O132" i="3"/>
  <c r="N132" i="3"/>
  <c r="M132" i="3"/>
  <c r="O131" i="3"/>
  <c r="N131" i="3"/>
  <c r="M131" i="3"/>
  <c r="O130" i="3"/>
  <c r="N130" i="3"/>
  <c r="M130" i="3"/>
  <c r="O129" i="3"/>
  <c r="N129" i="3"/>
  <c r="M129" i="3"/>
  <c r="O128" i="3"/>
  <c r="N128" i="3"/>
  <c r="M128" i="3"/>
  <c r="O127" i="3"/>
  <c r="N127" i="3"/>
  <c r="M127" i="3"/>
  <c r="O126" i="3"/>
  <c r="N126" i="3"/>
  <c r="M126" i="3"/>
  <c r="O125" i="3"/>
  <c r="N125" i="3"/>
  <c r="M125" i="3"/>
  <c r="O124" i="3"/>
  <c r="N124" i="3"/>
  <c r="M124" i="3"/>
  <c r="O123" i="3"/>
  <c r="N123" i="3"/>
  <c r="M123" i="3"/>
  <c r="O122" i="3"/>
  <c r="N122" i="3"/>
  <c r="M122" i="3"/>
  <c r="O121" i="3"/>
  <c r="N121" i="3"/>
  <c r="M121" i="3"/>
  <c r="O120" i="3"/>
  <c r="N120" i="3"/>
  <c r="M120" i="3"/>
  <c r="O119" i="3"/>
  <c r="N119" i="3"/>
  <c r="M119" i="3"/>
  <c r="O118" i="3"/>
  <c r="N118" i="3"/>
  <c r="M118" i="3"/>
  <c r="O117" i="3"/>
  <c r="N117" i="3"/>
  <c r="M117" i="3"/>
  <c r="O116" i="3"/>
  <c r="N116" i="3"/>
  <c r="M116" i="3"/>
  <c r="O115" i="3"/>
  <c r="N115" i="3"/>
  <c r="M115" i="3"/>
  <c r="O114" i="3"/>
  <c r="N114" i="3"/>
  <c r="M114" i="3"/>
  <c r="O113" i="3"/>
  <c r="M113" i="3"/>
  <c r="O112" i="3"/>
  <c r="M112" i="3"/>
  <c r="O111" i="3"/>
  <c r="M111" i="3"/>
  <c r="O110" i="3"/>
  <c r="M110" i="3"/>
  <c r="O109" i="3"/>
  <c r="M109" i="3"/>
  <c r="O108" i="3"/>
  <c r="M108" i="3"/>
  <c r="O107" i="3"/>
  <c r="M107" i="3"/>
  <c r="O106" i="3"/>
  <c r="M106" i="3"/>
  <c r="O105" i="3"/>
  <c r="M105" i="3"/>
  <c r="O104" i="3"/>
  <c r="M104" i="3"/>
  <c r="O103" i="3"/>
  <c r="M103" i="3"/>
  <c r="O102" i="3"/>
  <c r="M102" i="3"/>
  <c r="O101" i="3"/>
  <c r="M101" i="3"/>
  <c r="O100" i="3"/>
  <c r="M100" i="3"/>
  <c r="O99" i="3"/>
  <c r="M99" i="3"/>
  <c r="O98" i="3"/>
  <c r="M98" i="3"/>
  <c r="O97" i="3"/>
  <c r="M97" i="3"/>
  <c r="O96" i="3"/>
  <c r="M96" i="3"/>
  <c r="O95" i="3"/>
  <c r="M95" i="3"/>
  <c r="O94" i="3"/>
  <c r="M94" i="3"/>
  <c r="O93" i="3"/>
  <c r="M93" i="3"/>
  <c r="O92" i="3"/>
  <c r="M92" i="3"/>
  <c r="O91" i="3"/>
  <c r="M91" i="3"/>
  <c r="O90" i="3"/>
  <c r="M90" i="3"/>
  <c r="O89" i="3"/>
  <c r="M89" i="3"/>
  <c r="O88" i="3"/>
  <c r="M88" i="3"/>
  <c r="O87" i="3"/>
  <c r="M87" i="3"/>
  <c r="O86" i="3"/>
  <c r="M86" i="3"/>
  <c r="O85" i="3"/>
  <c r="M85" i="3"/>
  <c r="O84" i="3"/>
  <c r="M84" i="3"/>
  <c r="O83" i="3"/>
  <c r="M83" i="3"/>
  <c r="O82" i="3"/>
  <c r="M82" i="3"/>
  <c r="O81" i="3"/>
  <c r="M81" i="3"/>
  <c r="O80" i="3"/>
  <c r="M80" i="3"/>
  <c r="O79" i="3"/>
  <c r="M79" i="3"/>
  <c r="O78" i="3"/>
  <c r="M78" i="3"/>
  <c r="O77" i="3"/>
  <c r="M77" i="3"/>
  <c r="O76" i="3"/>
  <c r="M76" i="3"/>
  <c r="O75" i="3"/>
  <c r="M75" i="3"/>
  <c r="O74" i="3"/>
  <c r="M74" i="3"/>
  <c r="O73" i="3"/>
  <c r="M73" i="3"/>
  <c r="O72" i="3"/>
  <c r="M72" i="3"/>
  <c r="O71" i="3"/>
  <c r="M71" i="3"/>
  <c r="O70" i="3"/>
  <c r="M70" i="3"/>
  <c r="O69" i="3"/>
  <c r="M69" i="3"/>
  <c r="O68" i="3"/>
  <c r="M68" i="3"/>
  <c r="O67" i="3"/>
  <c r="M67" i="3"/>
  <c r="O66" i="3"/>
  <c r="M66" i="3"/>
  <c r="O65" i="3"/>
  <c r="M65" i="3"/>
  <c r="O64" i="3"/>
  <c r="M64" i="3"/>
  <c r="O63" i="3"/>
  <c r="M63" i="3"/>
  <c r="O62" i="3"/>
  <c r="M62" i="3"/>
  <c r="O61" i="3"/>
  <c r="M61" i="3"/>
  <c r="O60" i="3"/>
  <c r="M60" i="3"/>
  <c r="O59" i="3"/>
  <c r="M59" i="3"/>
  <c r="O58" i="3"/>
  <c r="M58" i="3"/>
  <c r="O57" i="3"/>
  <c r="M57" i="3"/>
  <c r="O56" i="3"/>
  <c r="M56" i="3"/>
  <c r="O55" i="3"/>
  <c r="M55" i="3"/>
  <c r="O54" i="3"/>
  <c r="M54" i="3"/>
  <c r="O53" i="3"/>
  <c r="M53" i="3"/>
  <c r="O52" i="3"/>
  <c r="M52" i="3"/>
  <c r="O51" i="3"/>
  <c r="M51" i="3"/>
  <c r="O50" i="3"/>
  <c r="M50" i="3"/>
  <c r="O49" i="3"/>
  <c r="M49" i="3"/>
  <c r="O48" i="3"/>
  <c r="M48" i="3"/>
  <c r="O47" i="3"/>
  <c r="M47" i="3"/>
  <c r="O46" i="3"/>
  <c r="M46" i="3"/>
  <c r="O45" i="3"/>
  <c r="M45" i="3"/>
  <c r="O44" i="3"/>
  <c r="M44" i="3"/>
  <c r="O43" i="3"/>
  <c r="M43" i="3"/>
  <c r="O42" i="3"/>
  <c r="M42" i="3"/>
  <c r="O41" i="3"/>
  <c r="M41" i="3"/>
  <c r="O40" i="3"/>
  <c r="M40" i="3"/>
  <c r="O39" i="3"/>
  <c r="M39" i="3"/>
  <c r="O38" i="3"/>
  <c r="N38" i="3"/>
  <c r="O37" i="3"/>
  <c r="N37" i="3"/>
  <c r="O36" i="3"/>
  <c r="N36" i="3"/>
  <c r="O35" i="3"/>
  <c r="N35" i="3"/>
  <c r="O34" i="3"/>
  <c r="N34" i="3"/>
  <c r="O33" i="3"/>
  <c r="N33" i="3"/>
  <c r="O32" i="3"/>
  <c r="N32" i="3"/>
  <c r="O31" i="3"/>
  <c r="N31" i="3"/>
  <c r="O30" i="3"/>
  <c r="N30" i="3"/>
  <c r="O29" i="3"/>
  <c r="N29" i="3"/>
  <c r="O28" i="3"/>
  <c r="N28" i="3"/>
  <c r="O27" i="3"/>
  <c r="N27" i="3"/>
  <c r="O26" i="3"/>
  <c r="N26" i="3"/>
  <c r="O25" i="3"/>
  <c r="N25" i="3"/>
  <c r="O24" i="3"/>
  <c r="N24" i="3"/>
  <c r="O23" i="3"/>
  <c r="N23" i="3"/>
  <c r="O22" i="3"/>
  <c r="N22" i="3"/>
  <c r="O21" i="3"/>
  <c r="N21" i="3"/>
  <c r="O20" i="3"/>
  <c r="N20" i="3"/>
  <c r="O19" i="3"/>
  <c r="N19" i="3"/>
  <c r="O18" i="3"/>
  <c r="N18" i="3"/>
  <c r="O17" i="3"/>
  <c r="N17" i="3"/>
  <c r="O16" i="3"/>
  <c r="N16" i="3"/>
  <c r="O15" i="3"/>
  <c r="N15" i="3"/>
  <c r="O14" i="3"/>
  <c r="N14" i="3"/>
  <c r="O13" i="3"/>
  <c r="N13" i="3"/>
  <c r="O12" i="3"/>
  <c r="N12" i="3"/>
  <c r="O11" i="3"/>
  <c r="N11" i="3"/>
  <c r="O10" i="3"/>
  <c r="N10" i="3"/>
  <c r="O9" i="3"/>
  <c r="N9" i="3"/>
  <c r="O8" i="3"/>
  <c r="N8" i="3"/>
  <c r="O7" i="3"/>
  <c r="N7" i="3"/>
  <c r="O6" i="3"/>
  <c r="N6" i="3"/>
  <c r="O5" i="3"/>
  <c r="N5" i="3"/>
  <c r="O4" i="3"/>
  <c r="N4" i="3"/>
  <c r="O3" i="3"/>
  <c r="N3" i="3"/>
  <c r="O2" i="3"/>
  <c r="N2" i="3"/>
  <c r="M2" i="3"/>
</calcChain>
</file>

<file path=xl/sharedStrings.xml><?xml version="1.0" encoding="utf-8"?>
<sst xmlns="http://schemas.openxmlformats.org/spreadsheetml/2006/main" count="1868" uniqueCount="394">
  <si>
    <t>Como preencher</t>
  </si>
  <si>
    <t>1.</t>
  </si>
  <si>
    <t>Preencha FreqNum/Unid (colunas G/H), CadenciaNum/Unid (colunas I/J – opcional) e PeriodoNum/Unid (colunas K/L).  Cadência sem valor significa "não se aplica"</t>
  </si>
  <si>
    <t>FreqNum/Unid</t>
  </si>
  <si>
    <t>Quantas vezes (Num) por tempo (Unid) - Ex. Uma vez por dia ou duas vezes por semana</t>
  </si>
  <si>
    <t>CadenciaNum/Unid</t>
  </si>
  <si>
    <t>em uma cadência de (Num) tempo (Unid) - Ex. De três em três (Num) dias (Unid)</t>
  </si>
  <si>
    <t>Duracao Num/Unid</t>
  </si>
  <si>
    <t>Por um período de (Num) tempo (Unid) - Ex.: Por um período de duas (Num) semanas (Unid)</t>
  </si>
  <si>
    <t>Ordem Área</t>
  </si>
  <si>
    <t>Segue a sequência das Abas da esquerda (Familia=1) para a direita, consecutivamente até Igreja=6</t>
  </si>
  <si>
    <t>Ordem Nível</t>
  </si>
  <si>
    <t>1 = Básico, 2 = Desafio e 3 = Avançado</t>
  </si>
  <si>
    <t>Ordem Estratégia</t>
  </si>
  <si>
    <t>Pela sequencia do registro, por linha, apenas dentro do nível. Ex.: A primeira linha do nível básico = , até a última estratégia do nível básico = 10. Zera para iniciar o nivel Desafio, 1 a 12, e nível Avançado, 1 a 15.</t>
  </si>
  <si>
    <t>2.</t>
  </si>
  <si>
    <t>Unidades válidas: d = dia(s), s = semana(s).</t>
  </si>
  <si>
    <t>3.</t>
  </si>
  <si>
    <t>Zeros à esquerda não são necessários nas colunas numéricas.</t>
  </si>
  <si>
    <t>4.</t>
  </si>
  <si>
    <t>A coluna CODIGO é base (área+nivel+ordem); o sufixo será gerado após preenchimento.</t>
  </si>
  <si>
    <t>5.</t>
  </si>
  <si>
    <t>Se FreqNum = 0 e Unid = d → significa 'o dia inteiro'.</t>
  </si>
  <si>
    <t>6.</t>
  </si>
  <si>
    <t>Use apenas números inteiros (&gt;=0) para Freq/Cadencia/Período.</t>
  </si>
  <si>
    <t>Exemplo de sufixo</t>
  </si>
  <si>
    <t>2d7d = 2 vezes por dia por 7 dias | 1s2s = 1 vez por semana por 2 semanas | 0d3d = dia inteiro por 3 dias | 0d0d - ficar atento para a primeira oportunidade  | 1d1d - pelo menos uma vez na primeira oportunidade</t>
  </si>
  <si>
    <t>Área</t>
  </si>
  <si>
    <t>Linhas</t>
  </si>
  <si>
    <t>Dimensões únicas</t>
  </si>
  <si>
    <t>Família</t>
  </si>
  <si>
    <t>Escola</t>
  </si>
  <si>
    <t>Eu mesmo</t>
  </si>
  <si>
    <t>Amigos</t>
  </si>
  <si>
    <t>Comunidade</t>
  </si>
  <si>
    <t>Igreja</t>
  </si>
  <si>
    <t>d</t>
  </si>
  <si>
    <t>s</t>
  </si>
  <si>
    <t>Area</t>
  </si>
  <si>
    <t>Nivel</t>
  </si>
  <si>
    <t>Estrategia</t>
  </si>
  <si>
    <t>OrdemArea</t>
  </si>
  <si>
    <t>OrdemNivel</t>
  </si>
  <si>
    <t>OrdemEstrategia</t>
  </si>
  <si>
    <t>FreqNum</t>
  </si>
  <si>
    <t>FreqUnid</t>
  </si>
  <si>
    <t>CadenciaNum</t>
  </si>
  <si>
    <t>CadenciaUnid</t>
  </si>
  <si>
    <t>PeriodoNum</t>
  </si>
  <si>
    <t>PeriodoUnid</t>
  </si>
  <si>
    <t>CODIGO</t>
  </si>
  <si>
    <t>Peso</t>
  </si>
  <si>
    <t>Descrição da Dosagem</t>
  </si>
  <si>
    <t>CodArea</t>
  </si>
  <si>
    <t>CodObjetivoSugerido</t>
  </si>
  <si>
    <t>DescObjetivoSugerida</t>
  </si>
  <si>
    <t>ScoreAlinhamento</t>
  </si>
  <si>
    <t>Básico</t>
  </si>
  <si>
    <t>Conversar com meus pais sobre como foi meu dia.</t>
  </si>
  <si>
    <t>A01</t>
  </si>
  <si>
    <t>A01O01</t>
  </si>
  <si>
    <t>Melhorar a comunicação com meus pais</t>
  </si>
  <si>
    <t>Ajudar em uma tarefa de casa sem que me peçam. Definir a tarefa.</t>
  </si>
  <si>
    <t>FaB002-1d7d</t>
  </si>
  <si>
    <t>A01O02</t>
  </si>
  <si>
    <t>Ajudar nas tarefas de casa com regularidade</t>
  </si>
  <si>
    <t>Dar um abraço de carinho em alguém da família.</t>
  </si>
  <si>
    <t>FaB003-1d7d</t>
  </si>
  <si>
    <t>A01O07</t>
  </si>
  <si>
    <t>Orar com minha família regularmente</t>
  </si>
  <si>
    <t>Participar de uma refeição em família sem celular.</t>
  </si>
  <si>
    <t>FaB004-1d7d</t>
  </si>
  <si>
    <t>Ouvir com atenção a opinião de um familiar.</t>
  </si>
  <si>
    <t>FaB005-1d7d</t>
  </si>
  <si>
    <t>Fazer uma oração pela minha família.</t>
  </si>
  <si>
    <t>FaB006-1d7d</t>
  </si>
  <si>
    <t>Escrever uma mensagem positiva para um parente.</t>
  </si>
  <si>
    <t>FaB007-1d7d</t>
  </si>
  <si>
    <t>A01O04</t>
  </si>
  <si>
    <t>Ser mais paciente com meus irmãos ou parentes</t>
  </si>
  <si>
    <t>Organizar meu quarto ou espaço pessoal.</t>
  </si>
  <si>
    <t>FaB008-1d7d</t>
  </si>
  <si>
    <t>Agradecer algo específico que alguém da família fez por mim.</t>
  </si>
  <si>
    <t>FaB009-1d7d</t>
  </si>
  <si>
    <t>Contar uma lembrança boa para alguém da família.</t>
  </si>
  <si>
    <t>FaB010-1d7d</t>
  </si>
  <si>
    <t>Desafio</t>
  </si>
  <si>
    <t>Preparar uma refeição simples para a família.</t>
  </si>
  <si>
    <t>FaD001-2d7d</t>
  </si>
  <si>
    <t>Fazer um planejamento de tarefas domésticas para a semana.</t>
  </si>
  <si>
    <t>FaD002-2d7d</t>
  </si>
  <si>
    <t>Conversar sobre como você pode colaborar com as finanças familiares com responsabilidade.</t>
  </si>
  <si>
    <t>FaD003-2d7d</t>
  </si>
  <si>
    <t>Acompanhar um familiar em um compromisso importante.</t>
  </si>
  <si>
    <t>FaD004-2d7d</t>
  </si>
  <si>
    <t>Escrever uma carta/mensagem de gratidão para um membro da família.</t>
  </si>
  <si>
    <t>FaD005-2d7d</t>
  </si>
  <si>
    <t>Medir e reduzir meu tempo de tela durante o tempo em que estiver com a família.</t>
  </si>
  <si>
    <t>FaD006-2d7d</t>
  </si>
  <si>
    <t>A01O03</t>
  </si>
  <si>
    <t>Passar tempo de qualidade com minha família</t>
  </si>
  <si>
    <t>Organizar um momento devocional familiar curto.</t>
  </si>
  <si>
    <t>FaD007-2d7d</t>
  </si>
  <si>
    <t>Resolver um pequeno conflito propondo um acordo justo.</t>
  </si>
  <si>
    <t>FaD008-2d7d</t>
  </si>
  <si>
    <t>Escanear/organizar fotos antigas da família e compartilhar.</t>
  </si>
  <si>
    <t>FaD009-2d7d</t>
  </si>
  <si>
    <t>Criar um calendário de aniversários e datas especiais da família.</t>
  </si>
  <si>
    <t>FaD010-2d7d</t>
  </si>
  <si>
    <t>Cuidar de um animal de estimação ou planta da casa.</t>
  </si>
  <si>
    <t>FaD011-2d7d</t>
  </si>
  <si>
    <t>Aprender e ensinar uma receita tradicional da família.</t>
  </si>
  <si>
    <t>FaD012-2d7d</t>
  </si>
  <si>
    <t>Avançado</t>
  </si>
  <si>
    <t>Planejar e conduzir um culto familiar semanal de 30 minutos.</t>
  </si>
  <si>
    <t>FaA001-1s2s</t>
  </si>
  <si>
    <t>Montar orçamento doméstico básico e acompanhar.</t>
  </si>
  <si>
    <t>FaA002-1s2s</t>
  </si>
  <si>
    <t>Medir e reduzir discussões recorrentes com técnicas de mediação e reflexão</t>
  </si>
  <si>
    <t>FaA003-1s2s</t>
  </si>
  <si>
    <t>A01O06</t>
  </si>
  <si>
    <t>Evitar discussões desnecessárias</t>
  </si>
  <si>
    <t>Criar e executar um projeto familiar (horta, reforma, doação).</t>
  </si>
  <si>
    <t>FaA004-1s2s</t>
  </si>
  <si>
    <t>Acompanhar um irmão/parentesco em rotina de estudos.</t>
  </si>
  <si>
    <t>FaA005-1s2s</t>
  </si>
  <si>
    <t>Desenvolver um manual de tarefas domésticas compartilhado.</t>
  </si>
  <si>
    <t>FaA006-1s2s</t>
  </si>
  <si>
    <t>Promover um dia de reconciliação: pedir perdão e perdoar.</t>
  </si>
  <si>
    <t>FaA007-1s2s</t>
  </si>
  <si>
    <t>Organizar um encontro de gerações e registrar histórias, com os pais e/ou avós..</t>
  </si>
  <si>
    <t>FaA008-1s2s</t>
  </si>
  <si>
    <t>Implantar regras de uso de telas e revisar em família.</t>
  </si>
  <si>
    <t>FaA009-1s2s</t>
  </si>
  <si>
    <t>Praticar organização do tempo: bloco de atividades familiares.</t>
  </si>
  <si>
    <t>FaA010-1s2s</t>
  </si>
  <si>
    <t>Conduzir um plano de oração por familiares específicos, com auxílio de uma lista.</t>
  </si>
  <si>
    <t>FaA011-1s2s</t>
  </si>
  <si>
    <t>Facilitar uma conversa sobre vocação com um membro da família.</t>
  </si>
  <si>
    <t>FaA012-1s2s</t>
  </si>
  <si>
    <t>Estabelecer uma noite de jogos sem telas em família.</t>
  </si>
  <si>
    <t>FaA013-1s3s</t>
  </si>
  <si>
    <t>Criar um álbum digital com fotos significativas e legendas.</t>
  </si>
  <si>
    <t>FaA014-1s2s</t>
  </si>
  <si>
    <t>Implantar check-ins semanais sobre clima familiar.</t>
  </si>
  <si>
    <t>FaA015-1s2s</t>
  </si>
  <si>
    <t>Revisar o conteúdo de uma aula no mesmo dia.</t>
  </si>
  <si>
    <t>A03</t>
  </si>
  <si>
    <t>A03O02</t>
  </si>
  <si>
    <t>Melhorar minha participação nas aulas</t>
  </si>
  <si>
    <t>Anotar as tarefas no caderno ou agenda.</t>
  </si>
  <si>
    <t>A03O01</t>
  </si>
  <si>
    <t>Organizar melhor meus estudos e prazos</t>
  </si>
  <si>
    <t>Perguntar uma dúvida ao professor.</t>
  </si>
  <si>
    <t>Ajudar um colega com explicação simples.</t>
  </si>
  <si>
    <t>A03O06</t>
  </si>
  <si>
    <t>Respeitar professores e colegas</t>
  </si>
  <si>
    <t>Ler 10 minutos de um livro extra além da escola.</t>
  </si>
  <si>
    <t>Organizar minha mochila antes de dormir.</t>
  </si>
  <si>
    <t>Participar de forma ativa em sala de aula.</t>
  </si>
  <si>
    <t>A03O07</t>
  </si>
  <si>
    <t>Evitar distrações em sala de aula</t>
  </si>
  <si>
    <t>Cumprimentar um funcionário da escola com respeito.</t>
  </si>
  <si>
    <t>Fazer uma anotação positiva no caderno.</t>
  </si>
  <si>
    <t>Compartilhar material de estudo com um colega.</t>
  </si>
  <si>
    <t>Elaborar um resumo estruturado de um capítulo.</t>
  </si>
  <si>
    <t>Resolver uma lista extra de exercícios escolhida por mim.</t>
  </si>
  <si>
    <t>Criar flashcards e revisar por 15 minutos.</t>
  </si>
  <si>
    <t>Formar um grupo de estudo e combinar um encontro.</t>
  </si>
  <si>
    <t>A03O08</t>
  </si>
  <si>
    <t>Montar um plano de estudos realista</t>
  </si>
  <si>
    <t>Produzir um mapa mental de um tema difícil.</t>
  </si>
  <si>
    <t>Assistir uma videoaula e anotar pontos-chave.</t>
  </si>
  <si>
    <t>Agendar e comparecer a horário de dúvidas com professor.</t>
  </si>
  <si>
    <t>Aplicar técnica Pomodoro por 1 hora de estudo.</t>
  </si>
  <si>
    <t>Planejar a semana acadêmica em uma agenda digital.</t>
  </si>
  <si>
    <t>Fazer um simulado breve (10–15 questões).</t>
  </si>
  <si>
    <t>Reescrever anotações tornando-as mais claras.</t>
  </si>
  <si>
    <t>Explicar um conceito a um colega até ele entender.</t>
  </si>
  <si>
    <t>Montar plano de estudos de 3 semanas com metas e revisões.</t>
  </si>
  <si>
    <t>Executar 3 ciclos Pomodoro/dia por 5 dias seguidos.</t>
  </si>
  <si>
    <t>Produzir resumos de 3 capítulos e mapas mentais completos.</t>
  </si>
  <si>
    <t>Realizar 2 simulados completos com correção de erros.</t>
  </si>
  <si>
    <t>Apresentar um seminário curto com slides originais na aula em classe, para colegas ou para os pais.</t>
  </si>
  <si>
    <t>Construir portfólio com melhores exercícios/projetos.</t>
  </si>
  <si>
    <t>Solicitar e aplicar feedback de professor em trabalho.</t>
  </si>
  <si>
    <t>Tutorar um colega por 3 encontros (30–45 min).</t>
  </si>
  <si>
    <t>Implementar técnica Feynman para 3 conceitos difíceis.</t>
  </si>
  <si>
    <t>Elaborar formulário de autoavaliação semanal de estudos.</t>
  </si>
  <si>
    <t>Fazer revisão espaçada (SRS) por 21 dias.</t>
  </si>
  <si>
    <t>Criar guia de prova com questões-chave e gabarito comentado.</t>
  </si>
  <si>
    <t>Manter rotina de sono e alimentação focada no aprendizado.</t>
  </si>
  <si>
    <t>Estudar em ambiente controlado (sem distrações) por 2 semanas.</t>
  </si>
  <si>
    <t>Praticar escrita acadêmica: introdução, desenvolvimento, conclusão.</t>
  </si>
  <si>
    <t>Anotar três coisas boas do meu dia.</t>
  </si>
  <si>
    <t>A06</t>
  </si>
  <si>
    <t>A06O03</t>
  </si>
  <si>
    <t>Controlar meu tempo no celular e redes</t>
  </si>
  <si>
    <t>Aprender uma técnica de respiração e praticar 10 minutos.</t>
  </si>
  <si>
    <t>A06O04</t>
  </si>
  <si>
    <t>Aprender a lidar com minhas emoções</t>
  </si>
  <si>
    <t>Arrumar minha cama ao acordar.</t>
  </si>
  <si>
    <t>A06O02</t>
  </si>
  <si>
    <t>Cuidar da minha saúde física</t>
  </si>
  <si>
    <t>Completar rotina de exercícios 5x/semana por 3 semanas.</t>
  </si>
  <si>
    <t>A06O01</t>
  </si>
  <si>
    <t>Me conhecer melhor e valorizar minhas qualidades</t>
  </si>
  <si>
    <t>Criar e seguir rotina matinal e noturna consistentes.</t>
  </si>
  <si>
    <t>A06O05</t>
  </si>
  <si>
    <t>Criar hábitos saudáveis (sono, alimentação)</t>
  </si>
  <si>
    <t>Decorar pelo menos 1 verso bíblico ou frase positiva</t>
  </si>
  <si>
    <t>Documentar minha vocação/talentos e próximo passo concreto.</t>
  </si>
  <si>
    <t>Dormir 3 noites seguidas no mesmo horário.</t>
  </si>
  <si>
    <t>Dormir no horário combinado.</t>
  </si>
  <si>
    <t>Eliminar um hábito ruim substituindo por um bom (21 dias).</t>
  </si>
  <si>
    <t>Estabelecer meta SMART semanal e monitorar.</t>
  </si>
  <si>
    <t>A06O08</t>
  </si>
  <si>
    <t>Desenvolver um plano de vida com metas claras</t>
  </si>
  <si>
    <t>Estabelecer orçamento pessoal básico e registrar gastos.</t>
  </si>
  <si>
    <t>Estabelecer um horário para dormir e cumprir à risca</t>
  </si>
  <si>
    <t>Estudar um tema novo com plano e avaliação.</t>
  </si>
  <si>
    <t>Evitar usar celular durante a refeição.</t>
  </si>
  <si>
    <t>A06O07</t>
  </si>
  <si>
    <t>Evitar comparações e inveja</t>
  </si>
  <si>
    <t>Executar detox de açúcar ultraprocessado por 14 dias.</t>
  </si>
  <si>
    <t>Basico</t>
  </si>
  <si>
    <t>Fazer 10 minutos de exercício físico.</t>
  </si>
  <si>
    <t>Fazer 30 minutos de atividade física contínua.</t>
  </si>
  <si>
    <t>Fazer check-up de saúde e montar plano de autocuidado.</t>
  </si>
  <si>
    <t>Implantar plano alimentar com preparo antecipado (meal prep).</t>
  </si>
  <si>
    <t>Implementar método GTD/Kanban para tarefas por 3 semanas.</t>
  </si>
  <si>
    <t>Ler 20 páginas de um livro edificante.</t>
  </si>
  <si>
    <t>Ler um livro inteiro e produzir resenha.</t>
  </si>
  <si>
    <t>Não deixar nada pendente para o próximo dia</t>
  </si>
  <si>
    <t>Organizar e manter uma rotina matinal simples.</t>
  </si>
  <si>
    <t>Organizar minha mesa de estudo.</t>
  </si>
  <si>
    <t>Planejar cardápio saudável de 2 dias e seguir.</t>
  </si>
  <si>
    <t>Praticar alongamento/ mobilidade por 15 minutos.</t>
  </si>
  <si>
    <t>Praticar gratidão diária com 3 registros por 21 dias.</t>
  </si>
  <si>
    <t>Praticar journaling de 10 minutos com perguntas guias.</t>
  </si>
  <si>
    <t>Praticar meditação/oração guiada 15 min por 21 dias.</t>
  </si>
  <si>
    <t>Realizar jejum digital por 6 horas no dia.</t>
  </si>
  <si>
    <t>Realizar projeto pessoal (música, arte, código) com entregável.</t>
  </si>
  <si>
    <t>Reduzir açúcar e eliminar refrigerante</t>
  </si>
  <si>
    <t>Selecionar música que me eleve espiritualmente.</t>
  </si>
  <si>
    <t>Separar 5 minutos para respirar ou orar sozinho.</t>
  </si>
  <si>
    <t>Tomar água antes de usar o celular de manhã.</t>
  </si>
  <si>
    <t>Zerar notificações e estabelecer janelas de uso por 21 dias.</t>
  </si>
  <si>
    <t>Mandar uma mensagem positiva para um amigo.</t>
  </si>
  <si>
    <t>A04</t>
  </si>
  <si>
    <t>A04O01</t>
  </si>
  <si>
    <t>Valorizar os verdadeiros amigos</t>
  </si>
  <si>
    <t>Ouvir sem interromper quando um amigo fala.</t>
  </si>
  <si>
    <t>Convidar alguém novo para almoçar,lazer ou estudar junto.</t>
  </si>
  <si>
    <t>Ajudar um amigo em uma tarefa difícil.</t>
  </si>
  <si>
    <t>Compartilhar algo que tenho (lanche, material, tempo).</t>
  </si>
  <si>
    <t>Pedir desculpa se eu magoei alguém.</t>
  </si>
  <si>
    <t>Dar uma palavra de incentivo a quem está triste.</t>
  </si>
  <si>
    <t>A04O03</t>
  </si>
  <si>
    <t>Dar bons conselhos quando for procurado</t>
  </si>
  <si>
    <t>Fazer um elogio verdadeiro a um amigo.</t>
  </si>
  <si>
    <t>Sorrir e cumprimentar alguém que costumo ignorar.</t>
  </si>
  <si>
    <t>Estar disponível para ouvir um amigo sem pressa.</t>
  </si>
  <si>
    <t>Organizar um encontro saudável sem gastos excessivos.</t>
  </si>
  <si>
    <t>Estar atento para evitar fofocas quando se trata de conversas a respeito de outra pessoa</t>
  </si>
  <si>
    <t>A04O05</t>
  </si>
  <si>
    <t>Evitar fofocas e julgamentos</t>
  </si>
  <si>
    <t>Apoiar um amigo em um objetivo pessoal com check-ins.</t>
  </si>
  <si>
    <t>Criar um pequeno grupo para leitura/estudo conjunto.</t>
  </si>
  <si>
    <t>Planejar e cumprir um dia sem redes sociais com um amigo.</t>
  </si>
  <si>
    <t>Ensinar uma habilidade que eu domino a um amigo.</t>
  </si>
  <si>
    <t>Iniciar uma conversa difícil com empatia e respeito.</t>
  </si>
  <si>
    <t>Escrever um bilhete ou e-mail de apreciação sincera.</t>
  </si>
  <si>
    <t>Acompanhar um amigo a uma consulta/compromisso.</t>
  </si>
  <si>
    <t>Oferecer carona compartilhada ou dividir custos.</t>
  </si>
  <si>
    <t>Organizar fotos/momentos e compartilhar um álbum.</t>
  </si>
  <si>
    <t>A04O02</t>
  </si>
  <si>
    <t>Ser mais presente nos momentos difíceis</t>
  </si>
  <si>
    <t>Praticar escuta ativa e refletir o que o outro disse.</t>
  </si>
  <si>
    <t>Coordenar grupo de responsabilidade mútua com metas semanais.</t>
  </si>
  <si>
    <t>Conduzir reconciliação entre dois amigos com neutralidade.</t>
  </si>
  <si>
    <t>Planejar viagem/saída com orçamento e segurança.</t>
  </si>
  <si>
    <t>Apoiar amigo em mudança/necessidade logística complexa.</t>
  </si>
  <si>
    <t>Criar tradição positiva semanal com amigos (sem telas).</t>
  </si>
  <si>
    <t>Realizar projeto de serviço com amigos na comunidade.</t>
  </si>
  <si>
    <t>Construir pactos de comunicação não-violenta no grupo.</t>
  </si>
  <si>
    <t>Mentorear um amigo mais novo por 3 semanas.</t>
  </si>
  <si>
    <t>Organizar campanha de arrecadação entre amigos.</t>
  </si>
  <si>
    <t>Produzir conteúdo colaborativo (vídeo, blog, podcast) edificante.</t>
  </si>
  <si>
    <t>Criar e manter calendário de aniversários com ações concretas.</t>
  </si>
  <si>
    <t>A04O04</t>
  </si>
  <si>
    <t>Manter contato com amigos antigos</t>
  </si>
  <si>
    <t>Estabelecer noite de leitura/estudo conjunto recorrente.</t>
  </si>
  <si>
    <t>Planejar desafio de saúde entre amigos com acompanhamento.</t>
  </si>
  <si>
    <t>Praticar jejum de redes com o grupo por 7 dias.</t>
  </si>
  <si>
    <t>Conduzir check-ins semanais (objetivos, vitórias, ajustes).</t>
  </si>
  <si>
    <t>Recolher um lixo da rua e jogar no lugar certo.</t>
  </si>
  <si>
    <t>A05</t>
  </si>
  <si>
    <t>A05O01</t>
  </si>
  <si>
    <t>Participar de ações sociais ou voluntariado</t>
  </si>
  <si>
    <t>Cumprimentar educadamente vizinhos.</t>
  </si>
  <si>
    <t>A05O05</t>
  </si>
  <si>
    <t>Tratar bem os vizinhos</t>
  </si>
  <si>
    <t>Ajudar alguém a carregar algo pesado.</t>
  </si>
  <si>
    <t>A05O06</t>
  </si>
  <si>
    <t>Ajudar idosos ou crianças quando possível</t>
  </si>
  <si>
    <t>Ceder lugar no ônibus ou assento.</t>
  </si>
  <si>
    <t>Guardar silêncio em locais públicos.</t>
  </si>
  <si>
    <t>Respeitar filas sem reclamar.</t>
  </si>
  <si>
    <t>Agradecer a um trabalhador do bairro.</t>
  </si>
  <si>
    <t>Participar de uma ação social da igreja ou escola.</t>
  </si>
  <si>
    <t>Doar uma peça de roupa em bom estado.</t>
  </si>
  <si>
    <t>Segurar a porta aberta para alguém.</t>
  </si>
  <si>
    <t>Pesquisar e participar de um voluntariado local.</t>
  </si>
  <si>
    <t>Apoiar uma campanha de doação (alimentos/agasalhos).</t>
  </si>
  <si>
    <t>Ajudar a pintar, consertar ou limpar um espaço público.</t>
  </si>
  <si>
    <t>Mapear necessidades do bairro e sugerir ações.</t>
  </si>
  <si>
    <t>Criar um pequeno mutirão de limpeza com amigos.</t>
  </si>
  <si>
    <t>Aprender o nome de 5 trabalhadores do bairro.</t>
  </si>
  <si>
    <t>Apoiar um pequeno comércio local conscientemente.</t>
  </si>
  <si>
    <t>Ajudar na segurança ao atravessar crianças/idosos.</t>
  </si>
  <si>
    <t>Participar de reunião de moradores/representação estudantil.</t>
  </si>
  <si>
    <t>Registrar e reportar um problema público corretamente.</t>
  </si>
  <si>
    <t>Produzir um cartaz ou post de utilidade pública.</t>
  </si>
  <si>
    <t>A05O04</t>
  </si>
  <si>
    <t>Cumprir regras e responsabilidades públicas</t>
  </si>
  <si>
    <t>Praticar gentilezas diárias por 7 dias seguidos.</t>
  </si>
  <si>
    <t>Propor e liderar mutirão de limpeza por 3 semanas.</t>
  </si>
  <si>
    <t>Criar e executar campanha de doação com metas e prestação de contas.</t>
  </si>
  <si>
    <t>Articular parceria com comércio local para benefício social.</t>
  </si>
  <si>
    <t>Organizar aula/oficina gratuita (tema que domino).</t>
  </si>
  <si>
    <t>Criar projeto de segurança viária local com mapeamento de riscos.</t>
  </si>
  <si>
    <t>Escrever carta formal à prefeitura com sugestões fundamentadas.</t>
  </si>
  <si>
    <t>Formar rede de apoio a idosos/crianças com cronograma.</t>
  </si>
  <si>
    <t>Implantar ponto fixo de coleta de recicláveis em parceria.</t>
  </si>
  <si>
    <t>Produzir guia local (serviços úteis) e distribuir digitalmente.</t>
  </si>
  <si>
    <t>Criar boletim comunitário mensal com atualizações.</t>
  </si>
  <si>
    <t>Capacitar 5 pessoas em uma habilidade prática.</t>
  </si>
  <si>
    <t>Mapear ONGs locais e alinhar voluntariado recorrente.</t>
  </si>
  <si>
    <t>Conduzir pesquisa de satisfação sobre serviços do bairro.</t>
  </si>
  <si>
    <t>Registrar indicadores (lixo, iluminação, segurança) por 3 semanas.</t>
  </si>
  <si>
    <t>Formalizar grupo em rede social para mobilização positiva.</t>
  </si>
  <si>
    <t>A05O07</t>
  </si>
  <si>
    <t>Usar redes sociais com responsabilidade</t>
  </si>
  <si>
    <t>Ler, pelo menos, um verso bíblico curto por dia.</t>
  </si>
  <si>
    <t>A02</t>
  </si>
  <si>
    <t>A02O04</t>
  </si>
  <si>
    <t>Orar e ler a Bíblia diariamente</t>
  </si>
  <si>
    <t>Anotar uma frase marcante do sermão ou estudo.</t>
  </si>
  <si>
    <t>A02O01</t>
  </si>
  <si>
    <t>Frequentar os cultos com regularidade</t>
  </si>
  <si>
    <t>Cumprimentar calorosamente alguém da minha igreja que eu não conheço bem.</t>
  </si>
  <si>
    <t>A02O05</t>
  </si>
  <si>
    <t>Testemunhar minha fé com sabedoria</t>
  </si>
  <si>
    <t>Participar ativamente de uma oração coletiva.</t>
  </si>
  <si>
    <t>A02O02</t>
  </si>
  <si>
    <t>Participar ativamente do ministério de jovens</t>
  </si>
  <si>
    <t>Compartilhar uma reflexão nas redes sociais.</t>
  </si>
  <si>
    <t>Convidar um amigo para vir à igreja comigo.</t>
  </si>
  <si>
    <t>A02O03</t>
  </si>
  <si>
    <t>Servir em algum ministério da igreja</t>
  </si>
  <si>
    <t>Ajudar a recolher materiais ou organizar cadeiras.</t>
  </si>
  <si>
    <t>Cantar com alegria durante o louvor.</t>
  </si>
  <si>
    <t>Fazer uma oração silenciosa por alguém da igreja.</t>
  </si>
  <si>
    <t>Agradecer a um líder ou professor da igreja.</t>
  </si>
  <si>
    <t>Preparar a leitura pública de um salmo ou texto.</t>
  </si>
  <si>
    <t>Apoiar voluntariamente uma classe infantil por um dia.</t>
  </si>
  <si>
    <t>A02O06</t>
  </si>
  <si>
    <t>Apoiar os novos membros e visitantes</t>
  </si>
  <si>
    <t>Ensaiar e apresentar um hino/leitura responsiva.</t>
  </si>
  <si>
    <t>Visitar alguém ausente e levar uma palavra de ânimo.</t>
  </si>
  <si>
    <t>Participar da organização de um pequeno evento da igreja.</t>
  </si>
  <si>
    <t>Fazer um estudo bíblico guiado de 20 minutos com alguém.</t>
  </si>
  <si>
    <t>Planejar e cumprir um plano semanal de leitura devocional.</t>
  </si>
  <si>
    <t>Levantar e registrar pedidos de oração ao longo da semana.</t>
  </si>
  <si>
    <t>Apoiar a mídia/sonoplastia como auxiliar.</t>
  </si>
  <si>
    <t>Ajudar na limpeza/arrumação após um programa/culto na igreja</t>
  </si>
  <si>
    <t>Conduzir uma oração intercessória específica por alguém.</t>
  </si>
  <si>
    <t>Escrever e compartilhar um breve testemunho pessoal.</t>
  </si>
  <si>
    <t>Liderar pequeno grupo/PG por 3 encontros consecutivos.</t>
  </si>
  <si>
    <t>Preparar e conduzir uma meditação de 10–15 minutos.</t>
  </si>
  <si>
    <t>Organizar e executar uma ação missionária simples.</t>
  </si>
  <si>
    <t>Coordenar logística de um programa (escala, materiais, tempo).</t>
  </si>
  <si>
    <t>Acompanhar discipulado de 1 pessoa por 3 semanas.</t>
  </si>
  <si>
    <t>Elaborar e cumprir plano de leitura bíblica diário.</t>
  </si>
  <si>
    <t>Treinar e atuar em equipe de recepção/acolhimento.</t>
  </si>
  <si>
    <t>Produzir uma série de 3 posts devocionais.</t>
  </si>
  <si>
    <t>Criar roteiro e conduzir oração de intercessão em cadeia.</t>
  </si>
  <si>
    <t>Servir em ministério infantil por 6 sábados seguidos.</t>
  </si>
  <si>
    <t>Pesquisar doutrina/tema e apresentar síntese em 10 minutos.</t>
  </si>
  <si>
    <t>Apoiar ou liderar ensaio musical com organização de repertório.</t>
  </si>
  <si>
    <t>Mapear talentos do grupo e propor escala de participação.</t>
  </si>
  <si>
    <t>Fazer visitação a enfermo/idoso com planejamento e registros.</t>
  </si>
  <si>
    <t>Conduzir feedback respeitoso para melhoria de um ministério.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</si>
</sst>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" fontId="0" fillId="0" borderId="1" xfId="0" applyNumberFormat="1" applyBorder="1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top" textRotation="90"/>
    </xf>
    <xf numFmtId="0" fontId="1" fillId="0" borderId="1" xfId="0" applyFont="1" applyBorder="1" applyAlignment="1">
      <alignment horizontal="center" vertical="top" textRotation="90" wrapText="1"/>
    </xf>
    <xf numFmtId="0" fontId="1" fillId="0" borderId="1" xfId="0" applyFont="1" applyBorder="1" applyAlignment="1">
      <alignment horizontal="center" textRotation="90" wrapText="1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 vertical="top" textRotation="90" wrapText="1"/>
    </xf>
    <xf numFmtId="0" fontId="0" fillId="3" borderId="0" xfId="0" applyFill="1"/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center" vertical="top" textRotation="9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workbookViewId="0">
      <selection activeCell="B8" sqref="B8"/>
    </sheetView>
  </sheetViews>
  <sheetFormatPr defaultRowHeight="15" x14ac:dyDescent="0.25"/>
  <cols>
    <col min="1" max="1" width="20.7109375" customWidth="1"/>
    <col min="2" max="2" width="90.7109375" customWidth="1"/>
    <col min="3" max="3" width="120.7109375" customWidth="1"/>
    <col min="4" max="14" width="18.7109375" customWidth="1"/>
  </cols>
  <sheetData>
    <row r="1" spans="1:2" x14ac:dyDescent="0.25">
      <c r="A1" s="1" t="s">
        <v>0</v>
      </c>
    </row>
    <row r="2" spans="1:2" ht="30" customHeight="1" x14ac:dyDescent="0.25">
      <c r="A2" t="s">
        <v>1</v>
      </c>
      <c r="B2" s="9" t="s">
        <v>2</v>
      </c>
    </row>
    <row r="3" spans="1:2" x14ac:dyDescent="0.25">
      <c r="A3" s="13" t="s">
        <v>3</v>
      </c>
      <c r="B3" t="s">
        <v>4</v>
      </c>
    </row>
    <row r="4" spans="1:2" x14ac:dyDescent="0.25">
      <c r="A4" s="13" t="s">
        <v>5</v>
      </c>
      <c r="B4" t="s">
        <v>6</v>
      </c>
    </row>
    <row r="5" spans="1:2" x14ac:dyDescent="0.25">
      <c r="A5" s="13" t="s">
        <v>7</v>
      </c>
      <c r="B5" t="s">
        <v>8</v>
      </c>
    </row>
    <row r="6" spans="1:2" x14ac:dyDescent="0.25">
      <c r="A6" s="13" t="s">
        <v>9</v>
      </c>
      <c r="B6" t="s">
        <v>10</v>
      </c>
    </row>
    <row r="7" spans="1:2" x14ac:dyDescent="0.25">
      <c r="A7" s="13" t="s">
        <v>11</v>
      </c>
      <c r="B7" t="s">
        <v>12</v>
      </c>
    </row>
    <row r="8" spans="1:2" x14ac:dyDescent="0.25">
      <c r="A8" s="13" t="s">
        <v>13</v>
      </c>
      <c r="B8" t="s">
        <v>14</v>
      </c>
    </row>
    <row r="9" spans="1:2" x14ac:dyDescent="0.25">
      <c r="A9" s="13"/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20</v>
      </c>
    </row>
    <row r="13" spans="1:2" x14ac:dyDescent="0.25">
      <c r="A13" t="s">
        <v>21</v>
      </c>
      <c r="B13" t="s">
        <v>22</v>
      </c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  <c r="B15" t="s">
        <v>26</v>
      </c>
    </row>
    <row r="19" spans="1:3" x14ac:dyDescent="0.25">
      <c r="A19" s="1" t="s">
        <v>27</v>
      </c>
      <c r="B19" s="1" t="s">
        <v>28</v>
      </c>
      <c r="C19" s="1" t="s">
        <v>29</v>
      </c>
    </row>
    <row r="20" spans="1:3" x14ac:dyDescent="0.25">
      <c r="A20" t="s">
        <v>30</v>
      </c>
      <c r="B20">
        <v>37</v>
      </c>
      <c r="C20">
        <v>3</v>
      </c>
    </row>
    <row r="21" spans="1:3" x14ac:dyDescent="0.25">
      <c r="A21" t="s">
        <v>31</v>
      </c>
      <c r="B21">
        <v>37</v>
      </c>
      <c r="C21">
        <v>3</v>
      </c>
    </row>
    <row r="22" spans="1:3" x14ac:dyDescent="0.25">
      <c r="A22" t="s">
        <v>32</v>
      </c>
      <c r="B22">
        <v>37</v>
      </c>
      <c r="C22">
        <v>3</v>
      </c>
    </row>
    <row r="23" spans="1:3" x14ac:dyDescent="0.25">
      <c r="A23" t="s">
        <v>33</v>
      </c>
      <c r="B23">
        <v>37</v>
      </c>
      <c r="C23">
        <v>3</v>
      </c>
    </row>
    <row r="24" spans="1:3" x14ac:dyDescent="0.25">
      <c r="A24" t="s">
        <v>34</v>
      </c>
      <c r="B24">
        <v>37</v>
      </c>
      <c r="C24">
        <v>3</v>
      </c>
    </row>
    <row r="25" spans="1:3" x14ac:dyDescent="0.25">
      <c r="A25" t="s">
        <v>35</v>
      </c>
      <c r="B25">
        <v>37</v>
      </c>
      <c r="C2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5" x14ac:dyDescent="0.25"/>
  <sheetData>
    <row r="1" spans="1:2" x14ac:dyDescent="0.25">
      <c r="A1" t="s">
        <v>36</v>
      </c>
      <c r="B1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24"/>
  <sheetViews>
    <sheetView tabSelected="1" workbookViewId="0">
      <pane ySplit="1" topLeftCell="A188" activePane="bottomLeft" state="frozen"/>
      <selection pane="bottomLeft" activeCell="A188" sqref="A188:S224"/>
    </sheetView>
  </sheetViews>
  <sheetFormatPr defaultRowHeight="15" x14ac:dyDescent="0.25"/>
  <cols>
    <col min="1" max="1" width="7.28515625" bestFit="1" customWidth="1"/>
    <col min="2" max="2" width="9.5703125" bestFit="1" customWidth="1"/>
    <col min="3" max="3" width="85.28515625" bestFit="1" customWidth="1"/>
    <col min="4" max="6" width="3.7109375" bestFit="1" customWidth="1"/>
    <col min="7" max="12" width="3.7109375" style="11" bestFit="1" customWidth="1"/>
    <col min="13" max="13" width="12.28515625" bestFit="1" customWidth="1"/>
    <col min="14" max="14" width="3.7109375" bestFit="1" customWidth="1"/>
    <col min="15" max="15" width="55.28515625" bestFit="1" customWidth="1"/>
  </cols>
  <sheetData>
    <row r="1" spans="1:19" ht="109.5" customHeight="1" x14ac:dyDescent="0.25">
      <c r="A1" s="7" t="s">
        <v>38</v>
      </c>
      <c r="B1" s="7" t="s">
        <v>39</v>
      </c>
      <c r="C1" s="7" t="s">
        <v>40</v>
      </c>
      <c r="D1" s="7" t="s">
        <v>41</v>
      </c>
      <c r="E1" s="7" t="s">
        <v>42</v>
      </c>
      <c r="F1" s="7" t="s">
        <v>43</v>
      </c>
      <c r="G1" s="10" t="s">
        <v>44</v>
      </c>
      <c r="H1" s="10" t="s">
        <v>45</v>
      </c>
      <c r="I1" s="14" t="s">
        <v>46</v>
      </c>
      <c r="J1" s="14" t="s">
        <v>47</v>
      </c>
      <c r="K1" s="10" t="s">
        <v>48</v>
      </c>
      <c r="L1" s="10" t="s">
        <v>49</v>
      </c>
      <c r="M1" s="7" t="s">
        <v>50</v>
      </c>
      <c r="N1" s="6" t="s">
        <v>51</v>
      </c>
      <c r="O1" s="8" t="s">
        <v>52</v>
      </c>
      <c r="P1" t="s">
        <v>53</v>
      </c>
      <c r="Q1" t="s">
        <v>54</v>
      </c>
      <c r="R1" t="s">
        <v>55</v>
      </c>
      <c r="S1" t="s">
        <v>56</v>
      </c>
    </row>
    <row r="2" spans="1:19" x14ac:dyDescent="0.25">
      <c r="A2" s="2" t="s">
        <v>30</v>
      </c>
      <c r="B2" s="2" t="s">
        <v>57</v>
      </c>
      <c r="C2" s="2" t="s">
        <v>58</v>
      </c>
      <c r="D2" s="5">
        <v>1</v>
      </c>
      <c r="E2" s="5">
        <v>1</v>
      </c>
      <c r="F2" s="5">
        <v>1</v>
      </c>
      <c r="G2" s="12">
        <v>1</v>
      </c>
      <c r="H2" s="12" t="s">
        <v>36</v>
      </c>
      <c r="I2" s="12"/>
      <c r="J2" s="12"/>
      <c r="K2" s="12">
        <v>2</v>
      </c>
      <c r="L2" s="12" t="s">
        <v>36</v>
      </c>
      <c r="M2" s="5" t="str">
        <f>LEFT(A2,2)&amp;LEFT(B2,1)&amp;TEXT(F2,"000")&amp;"-"&amp;(G2)&amp;H2&amp;(K2)&amp;L2</f>
        <v>FaB001-1d2d</v>
      </c>
      <c r="N2" s="5">
        <f t="shared" ref="N2:N38" si="0">IF(B2="Básico",1,IF(B2="Desafio",2,IF(B2="Avançado",3)))</f>
        <v>1</v>
      </c>
      <c r="O2" s="2" t="str">
        <f>IF(
  AND(G2="",H2="",I2="",J2="",K2="",L2=""),
  "Fique atento para a primeira oportunidade que surgir",
  IF(AND(G2=0,LOWER(H2)="d",K2=0,LOWER(L2)="d"),
     "Fique atento para a primeira oportunidade que surgir",
     IF(AND(G2=1,LOWER(H2)="d",K2=1,LOWER(L2)="d"),
        "Pelo menos uma vez",
        IF(G2=0,"O dia inteiro",IF(G2=1,"Uma vez",TEXT(G2,"0")&amp;" vezes")&amp;" por "&amp;IF(LOWER(H2)="d","dia","semana"))
        &amp;IF(AND(ISNUMBER(I2),I2&gt;0),", a cada "&amp;TEXT(I2,"0")&amp;" "&amp;IF(I2=1,IF(LOWER(J2)="d","dia","semana"),IF(LOWER(J2)="d","dias","semanas"))&amp;",","")
        &amp;" por um período de "&amp;TEXT(K2,"0")&amp;" "&amp;IF(K2=1,IF(LOWER(L2)="d","dia","semana"),IF(LOWER(L2)="d","dias","semanas"))
     )
  )
)</f>
        <v>Uma vez por dia por um período de 2 dias</v>
      </c>
      <c r="P2" t="s">
        <v>59</v>
      </c>
      <c r="Q2" t="s">
        <v>60</v>
      </c>
      <c r="R2" t="s">
        <v>61</v>
      </c>
      <c r="S2">
        <v>0.28599999999999998</v>
      </c>
    </row>
    <row r="3" spans="1:19" x14ac:dyDescent="0.25">
      <c r="A3" s="2" t="s">
        <v>30</v>
      </c>
      <c r="B3" s="2" t="s">
        <v>57</v>
      </c>
      <c r="C3" s="2" t="s">
        <v>62</v>
      </c>
      <c r="D3" s="5">
        <v>1</v>
      </c>
      <c r="E3" s="5">
        <v>1</v>
      </c>
      <c r="F3" s="5">
        <v>2</v>
      </c>
      <c r="G3" s="12">
        <v>1</v>
      </c>
      <c r="H3" s="12" t="s">
        <v>36</v>
      </c>
      <c r="I3" s="12"/>
      <c r="J3" s="12"/>
      <c r="K3" s="12">
        <v>3</v>
      </c>
      <c r="L3" s="12" t="s">
        <v>36</v>
      </c>
      <c r="M3" s="5" t="s">
        <v>63</v>
      </c>
      <c r="N3" s="5">
        <f t="shared" si="0"/>
        <v>1</v>
      </c>
      <c r="O3" s="2" t="str">
        <f>IF(
  AND(G3="",H3="",I3="",J3="",K3="",L3=""),
  "Fique atento para a primeira oportunidade que surgir",
  IF(AND(G3=0,LOWER(H3)="d",K3=0,LOWER(L3)="d"),
     "Fique atento para a primeira oportunidade que surgir",
     IF(AND(G3=1,LOWER(H3)="d",K3=1,LOWER(L3)="d"),
        "Pelo menos uma vez",
        IF(G3=0,"O dia inteiro",IF(G3=1,"Uma vez",TEXT(G3,"0")&amp;" vezes")&amp;" por "&amp;IF(LOWER(H3)="d","dia","semana"))
        &amp;IF(AND(ISNUMBER(I3),I3&gt;0),", a cada "&amp;TEXT(I3,"0")&amp;" "&amp;IF(I3=1,IF(LOWER(J3)="d","dia","semana"),IF(LOWER(J3)="d","dias","semanas"))&amp;",","")
        &amp;" por um período de "&amp;TEXT(K3,"0")&amp;" "&amp;IF(K3=1,IF(LOWER(L3)="d","dia","semana"),IF(LOWER(L3)="d","dias","semanas"))
     )
  )
)</f>
        <v>Uma vez por dia por um período de 3 dias</v>
      </c>
      <c r="P3" t="s">
        <v>59</v>
      </c>
      <c r="Q3" t="s">
        <v>64</v>
      </c>
      <c r="R3" t="s">
        <v>65</v>
      </c>
      <c r="S3">
        <v>0.5</v>
      </c>
    </row>
    <row r="4" spans="1:19" x14ac:dyDescent="0.25">
      <c r="A4" s="2" t="s">
        <v>30</v>
      </c>
      <c r="B4" s="2" t="s">
        <v>57</v>
      </c>
      <c r="C4" s="2" t="s">
        <v>66</v>
      </c>
      <c r="D4" s="5">
        <v>1</v>
      </c>
      <c r="E4" s="5">
        <v>1</v>
      </c>
      <c r="F4" s="5">
        <v>3</v>
      </c>
      <c r="G4" s="12">
        <v>1</v>
      </c>
      <c r="H4" s="12" t="s">
        <v>36</v>
      </c>
      <c r="I4" s="12"/>
      <c r="J4" s="12"/>
      <c r="K4" s="12">
        <v>2</v>
      </c>
      <c r="L4" s="12" t="s">
        <v>36</v>
      </c>
      <c r="M4" s="5" t="s">
        <v>67</v>
      </c>
      <c r="N4" s="5">
        <f t="shared" si="0"/>
        <v>1</v>
      </c>
      <c r="O4" s="2" t="str">
        <f t="shared" ref="O4:O38" si="1">IF(
AND(G4="",H4="",I4="",J4="",K4="",L4=""),
"Fique atento para a primeira oportunidade que surgir",
IF(AND(G4=0,LOWER(H4)="d",K4=0,LOWER(L4)="d"),
"Fique atento para a primeira oportunidade que surgir",
IF(AND(G4=1,LOWER(H4)="d",K4=1,LOWER(L4)="d"),
"Pelo menos uma vez",
IF(G4=0,"O dia inteiro",IF(G4=1,"Uma vez",TEXT(G4,"0")&amp;" vezes")&amp;" por "&amp;IF(LOWER(H4)="d","dia","semana"))
&amp;IF(AND(ISNUMBER(I4),I4&gt;0),", a cada "&amp;TEXT(I4,"0")&amp;" "&amp;IF(I4=1,IF(LOWER(J4)="d","dia","semana"),IF(LOWER(J4)="d","dias","semanas"))&amp;",","")
&amp;" por um período de "&amp;TEXT(K4,"0")&amp;" "&amp;IF(K4=1,IF(LOWER(L4)="d","dia","semana"),IF(LOWER(L4)="d","dias","semanas"))
)
)
)</f>
        <v>Uma vez por dia por um período de 2 dias</v>
      </c>
      <c r="P4" t="s">
        <v>59</v>
      </c>
      <c r="Q4" t="s">
        <v>68</v>
      </c>
      <c r="R4" t="s">
        <v>69</v>
      </c>
      <c r="S4">
        <v>0.125</v>
      </c>
    </row>
    <row r="5" spans="1:19" x14ac:dyDescent="0.25">
      <c r="A5" s="2" t="s">
        <v>30</v>
      </c>
      <c r="B5" s="2" t="s">
        <v>57</v>
      </c>
      <c r="C5" s="2" t="s">
        <v>70</v>
      </c>
      <c r="D5" s="5">
        <v>1</v>
      </c>
      <c r="E5" s="5">
        <v>1</v>
      </c>
      <c r="F5" s="5">
        <v>4</v>
      </c>
      <c r="G5" s="12">
        <v>2</v>
      </c>
      <c r="H5" s="12" t="s">
        <v>36</v>
      </c>
      <c r="I5" s="12"/>
      <c r="J5" s="12"/>
      <c r="K5" s="12">
        <v>4</v>
      </c>
      <c r="L5" s="12" t="s">
        <v>36</v>
      </c>
      <c r="M5" s="5" t="s">
        <v>71</v>
      </c>
      <c r="N5" s="5">
        <f t="shared" si="0"/>
        <v>1</v>
      </c>
      <c r="O5" s="2" t="str">
        <f t="shared" si="1"/>
        <v>2 vezes por dia por um período de 4 dias</v>
      </c>
      <c r="P5" t="s">
        <v>59</v>
      </c>
      <c r="Q5" t="s">
        <v>68</v>
      </c>
      <c r="R5" t="s">
        <v>69</v>
      </c>
      <c r="S5">
        <v>0.14299999999999999</v>
      </c>
    </row>
    <row r="6" spans="1:19" x14ac:dyDescent="0.25">
      <c r="A6" s="2" t="s">
        <v>30</v>
      </c>
      <c r="B6" s="2" t="s">
        <v>57</v>
      </c>
      <c r="C6" s="2" t="s">
        <v>72</v>
      </c>
      <c r="D6" s="5">
        <v>1</v>
      </c>
      <c r="E6" s="5">
        <v>1</v>
      </c>
      <c r="F6" s="5">
        <v>5</v>
      </c>
      <c r="G6" s="12">
        <v>0</v>
      </c>
      <c r="H6" s="12" t="s">
        <v>36</v>
      </c>
      <c r="I6" s="12"/>
      <c r="J6" s="12"/>
      <c r="K6" s="12">
        <v>7</v>
      </c>
      <c r="L6" s="12" t="s">
        <v>36</v>
      </c>
      <c r="M6" s="5" t="s">
        <v>73</v>
      </c>
      <c r="N6" s="5">
        <f t="shared" si="0"/>
        <v>1</v>
      </c>
      <c r="O6" s="2" t="str">
        <f t="shared" si="1"/>
        <v>O dia inteiro por um período de 7 dias</v>
      </c>
      <c r="P6" t="s">
        <v>59</v>
      </c>
      <c r="Q6" t="s">
        <v>60</v>
      </c>
      <c r="R6" t="s">
        <v>61</v>
      </c>
      <c r="S6">
        <v>0</v>
      </c>
    </row>
    <row r="7" spans="1:19" x14ac:dyDescent="0.25">
      <c r="A7" s="2" t="s">
        <v>30</v>
      </c>
      <c r="B7" s="2" t="s">
        <v>57</v>
      </c>
      <c r="C7" s="2" t="s">
        <v>74</v>
      </c>
      <c r="D7" s="5">
        <v>1</v>
      </c>
      <c r="E7" s="5">
        <v>1</v>
      </c>
      <c r="F7" s="5">
        <v>6</v>
      </c>
      <c r="G7" s="12">
        <v>1</v>
      </c>
      <c r="H7" s="12" t="s">
        <v>36</v>
      </c>
      <c r="I7" s="12">
        <v>2</v>
      </c>
      <c r="J7" s="12" t="s">
        <v>36</v>
      </c>
      <c r="K7" s="12">
        <v>7</v>
      </c>
      <c r="L7" s="12" t="s">
        <v>36</v>
      </c>
      <c r="M7" s="5" t="s">
        <v>75</v>
      </c>
      <c r="N7" s="5">
        <f t="shared" si="0"/>
        <v>1</v>
      </c>
      <c r="O7" s="2" t="str">
        <f t="shared" si="1"/>
        <v>Uma vez por dia, a cada 2 dias, por um período de 7 dias</v>
      </c>
      <c r="P7" t="s">
        <v>59</v>
      </c>
      <c r="Q7" t="s">
        <v>68</v>
      </c>
      <c r="R7" t="s">
        <v>69</v>
      </c>
      <c r="S7">
        <v>0.28599999999999998</v>
      </c>
    </row>
    <row r="8" spans="1:19" x14ac:dyDescent="0.25">
      <c r="A8" s="2" t="s">
        <v>30</v>
      </c>
      <c r="B8" s="2" t="s">
        <v>57</v>
      </c>
      <c r="C8" s="2" t="s">
        <v>76</v>
      </c>
      <c r="D8" s="5">
        <v>1</v>
      </c>
      <c r="E8" s="5">
        <v>1</v>
      </c>
      <c r="F8" s="5">
        <v>7</v>
      </c>
      <c r="G8" s="12">
        <v>1</v>
      </c>
      <c r="H8" s="12" t="s">
        <v>36</v>
      </c>
      <c r="I8" s="12">
        <v>3</v>
      </c>
      <c r="J8" s="12" t="s">
        <v>36</v>
      </c>
      <c r="K8" s="12">
        <v>6</v>
      </c>
      <c r="L8" s="12" t="s">
        <v>36</v>
      </c>
      <c r="M8" s="5" t="s">
        <v>77</v>
      </c>
      <c r="N8" s="5">
        <f t="shared" si="0"/>
        <v>1</v>
      </c>
      <c r="O8" s="2" t="str">
        <f t="shared" si="1"/>
        <v>Uma vez por dia, a cada 3 dias, por um período de 6 dias</v>
      </c>
      <c r="P8" t="s">
        <v>59</v>
      </c>
      <c r="Q8" t="s">
        <v>78</v>
      </c>
      <c r="R8" t="s">
        <v>79</v>
      </c>
      <c r="S8">
        <v>0.125</v>
      </c>
    </row>
    <row r="9" spans="1:19" x14ac:dyDescent="0.25">
      <c r="A9" s="2" t="s">
        <v>30</v>
      </c>
      <c r="B9" s="2" t="s">
        <v>57</v>
      </c>
      <c r="C9" s="2" t="s">
        <v>80</v>
      </c>
      <c r="D9" s="5">
        <v>1</v>
      </c>
      <c r="E9" s="5">
        <v>1</v>
      </c>
      <c r="F9" s="5">
        <v>8</v>
      </c>
      <c r="G9" s="12">
        <v>1</v>
      </c>
      <c r="H9" s="12" t="s">
        <v>36</v>
      </c>
      <c r="I9" s="12"/>
      <c r="J9" s="12"/>
      <c r="K9" s="12">
        <v>7</v>
      </c>
      <c r="L9" s="12" t="s">
        <v>36</v>
      </c>
      <c r="M9" s="5" t="s">
        <v>81</v>
      </c>
      <c r="N9" s="5">
        <f t="shared" si="0"/>
        <v>1</v>
      </c>
      <c r="O9" s="2" t="str">
        <f t="shared" si="1"/>
        <v>Uma vez por dia por um período de 7 dias</v>
      </c>
      <c r="P9" t="s">
        <v>59</v>
      </c>
      <c r="Q9" t="s">
        <v>60</v>
      </c>
      <c r="R9" t="s">
        <v>61</v>
      </c>
      <c r="S9">
        <v>0.125</v>
      </c>
    </row>
    <row r="10" spans="1:19" x14ac:dyDescent="0.25">
      <c r="A10" s="2" t="s">
        <v>30</v>
      </c>
      <c r="B10" s="2" t="s">
        <v>57</v>
      </c>
      <c r="C10" s="2" t="s">
        <v>82</v>
      </c>
      <c r="D10" s="5">
        <v>1</v>
      </c>
      <c r="E10" s="5">
        <v>1</v>
      </c>
      <c r="F10" s="5">
        <v>9</v>
      </c>
      <c r="G10" s="12">
        <v>1</v>
      </c>
      <c r="H10" s="12" t="s">
        <v>36</v>
      </c>
      <c r="I10" s="12">
        <v>2</v>
      </c>
      <c r="J10" s="12" t="s">
        <v>36</v>
      </c>
      <c r="K10" s="12">
        <v>6</v>
      </c>
      <c r="L10" s="12" t="s">
        <v>36</v>
      </c>
      <c r="M10" s="5" t="s">
        <v>83</v>
      </c>
      <c r="N10" s="5">
        <f t="shared" si="0"/>
        <v>1</v>
      </c>
      <c r="O10" s="2" t="str">
        <f t="shared" si="1"/>
        <v>Uma vez por dia, a cada 2 dias, por um período de 6 dias</v>
      </c>
      <c r="P10" t="s">
        <v>59</v>
      </c>
      <c r="Q10" t="s">
        <v>68</v>
      </c>
      <c r="R10" t="s">
        <v>69</v>
      </c>
      <c r="S10">
        <v>0.1</v>
      </c>
    </row>
    <row r="11" spans="1:19" x14ac:dyDescent="0.25">
      <c r="A11" s="2" t="s">
        <v>30</v>
      </c>
      <c r="B11" s="2" t="s">
        <v>57</v>
      </c>
      <c r="C11" s="2" t="s">
        <v>84</v>
      </c>
      <c r="D11" s="5">
        <v>1</v>
      </c>
      <c r="E11" s="5">
        <v>1</v>
      </c>
      <c r="F11" s="5">
        <v>10</v>
      </c>
      <c r="G11" s="12">
        <v>1</v>
      </c>
      <c r="H11" s="12" t="s">
        <v>36</v>
      </c>
      <c r="I11" s="12">
        <v>3</v>
      </c>
      <c r="J11" s="12" t="s">
        <v>36</v>
      </c>
      <c r="K11" s="12">
        <v>6</v>
      </c>
      <c r="L11" s="12" t="s">
        <v>36</v>
      </c>
      <c r="M11" s="5" t="s">
        <v>85</v>
      </c>
      <c r="N11" s="5">
        <f t="shared" si="0"/>
        <v>1</v>
      </c>
      <c r="O11" s="2" t="str">
        <f t="shared" si="1"/>
        <v>Uma vez por dia, a cada 3 dias, por um período de 6 dias</v>
      </c>
      <c r="P11" t="s">
        <v>59</v>
      </c>
      <c r="Q11" t="s">
        <v>68</v>
      </c>
      <c r="R11" t="s">
        <v>69</v>
      </c>
      <c r="S11">
        <v>0.125</v>
      </c>
    </row>
    <row r="12" spans="1:19" x14ac:dyDescent="0.25">
      <c r="A12" s="2" t="s">
        <v>30</v>
      </c>
      <c r="B12" s="2" t="s">
        <v>86</v>
      </c>
      <c r="C12" s="2" t="s">
        <v>87</v>
      </c>
      <c r="D12" s="5">
        <v>1</v>
      </c>
      <c r="E12" s="5">
        <v>2</v>
      </c>
      <c r="F12" s="5">
        <v>1</v>
      </c>
      <c r="G12" s="12">
        <v>1</v>
      </c>
      <c r="H12" s="12" t="s">
        <v>36</v>
      </c>
      <c r="I12" s="12"/>
      <c r="J12" s="12"/>
      <c r="K12" s="12">
        <v>1</v>
      </c>
      <c r="L12" s="12" t="s">
        <v>36</v>
      </c>
      <c r="M12" s="5" t="s">
        <v>88</v>
      </c>
      <c r="N12" s="5">
        <f t="shared" si="0"/>
        <v>2</v>
      </c>
      <c r="O12" s="2" t="str">
        <f t="shared" si="1"/>
        <v>Pelo menos uma vez</v>
      </c>
      <c r="P12" t="s">
        <v>59</v>
      </c>
      <c r="Q12" t="s">
        <v>68</v>
      </c>
      <c r="R12" t="s">
        <v>69</v>
      </c>
      <c r="S12">
        <v>0.14299999999999999</v>
      </c>
    </row>
    <row r="13" spans="1:19" x14ac:dyDescent="0.25">
      <c r="A13" s="2" t="s">
        <v>30</v>
      </c>
      <c r="B13" s="2" t="s">
        <v>86</v>
      </c>
      <c r="C13" s="2" t="s">
        <v>89</v>
      </c>
      <c r="D13" s="5">
        <v>1</v>
      </c>
      <c r="E13" s="5">
        <v>2</v>
      </c>
      <c r="F13" s="5">
        <v>2</v>
      </c>
      <c r="G13" s="12">
        <v>1</v>
      </c>
      <c r="H13" s="12" t="s">
        <v>37</v>
      </c>
      <c r="I13" s="12"/>
      <c r="J13" s="12"/>
      <c r="K13" s="12">
        <v>2</v>
      </c>
      <c r="L13" s="12" t="s">
        <v>37</v>
      </c>
      <c r="M13" s="5" t="s">
        <v>90</v>
      </c>
      <c r="N13" s="5">
        <f t="shared" si="0"/>
        <v>2</v>
      </c>
      <c r="O13" s="2" t="str">
        <f t="shared" si="1"/>
        <v>Uma vez por semana por um período de 2 semanas</v>
      </c>
      <c r="P13" t="s">
        <v>59</v>
      </c>
      <c r="Q13" t="s">
        <v>64</v>
      </c>
      <c r="R13" t="s">
        <v>65</v>
      </c>
      <c r="S13">
        <v>0.125</v>
      </c>
    </row>
    <row r="14" spans="1:19" x14ac:dyDescent="0.25">
      <c r="A14" s="2" t="s">
        <v>30</v>
      </c>
      <c r="B14" s="2" t="s">
        <v>86</v>
      </c>
      <c r="C14" s="2" t="s">
        <v>91</v>
      </c>
      <c r="D14" s="5">
        <v>1</v>
      </c>
      <c r="E14" s="5">
        <v>2</v>
      </c>
      <c r="F14" s="5">
        <v>3</v>
      </c>
      <c r="G14" s="12">
        <v>1</v>
      </c>
      <c r="H14" s="12" t="s">
        <v>37</v>
      </c>
      <c r="I14" s="12"/>
      <c r="J14" s="12"/>
      <c r="K14" s="12">
        <v>1</v>
      </c>
      <c r="L14" s="12" t="s">
        <v>37</v>
      </c>
      <c r="M14" s="5" t="s">
        <v>92</v>
      </c>
      <c r="N14" s="5">
        <f t="shared" si="0"/>
        <v>2</v>
      </c>
      <c r="O14" s="2" t="str">
        <f t="shared" si="1"/>
        <v>Uma vez por semana por um período de 1 semana</v>
      </c>
      <c r="P14" t="s">
        <v>59</v>
      </c>
      <c r="Q14" t="s">
        <v>60</v>
      </c>
      <c r="R14" t="s">
        <v>61</v>
      </c>
      <c r="S14">
        <v>0</v>
      </c>
    </row>
    <row r="15" spans="1:19" x14ac:dyDescent="0.25">
      <c r="A15" s="2" t="s">
        <v>30</v>
      </c>
      <c r="B15" s="2" t="s">
        <v>86</v>
      </c>
      <c r="C15" s="2" t="s">
        <v>93</v>
      </c>
      <c r="D15" s="5">
        <v>1</v>
      </c>
      <c r="E15" s="5">
        <v>2</v>
      </c>
      <c r="F15" s="5">
        <v>4</v>
      </c>
      <c r="G15" s="12">
        <v>1</v>
      </c>
      <c r="H15" s="12" t="s">
        <v>36</v>
      </c>
      <c r="I15" s="12"/>
      <c r="J15" s="12"/>
      <c r="K15" s="12">
        <v>2</v>
      </c>
      <c r="L15" s="12" t="s">
        <v>36</v>
      </c>
      <c r="M15" s="5" t="s">
        <v>94</v>
      </c>
      <c r="N15" s="5">
        <f t="shared" si="0"/>
        <v>2</v>
      </c>
      <c r="O15" s="2" t="str">
        <f t="shared" si="1"/>
        <v>Uma vez por dia por um período de 2 dias</v>
      </c>
      <c r="P15" t="s">
        <v>59</v>
      </c>
      <c r="Q15" t="s">
        <v>60</v>
      </c>
      <c r="R15" t="s">
        <v>61</v>
      </c>
      <c r="S15">
        <v>0</v>
      </c>
    </row>
    <row r="16" spans="1:19" x14ac:dyDescent="0.25">
      <c r="A16" s="2" t="s">
        <v>30</v>
      </c>
      <c r="B16" s="2" t="s">
        <v>86</v>
      </c>
      <c r="C16" s="2" t="s">
        <v>95</v>
      </c>
      <c r="D16" s="5">
        <v>1</v>
      </c>
      <c r="E16" s="5">
        <v>2</v>
      </c>
      <c r="F16" s="5">
        <v>5</v>
      </c>
      <c r="G16" s="12">
        <v>1</v>
      </c>
      <c r="H16" s="12" t="s">
        <v>36</v>
      </c>
      <c r="I16" s="12"/>
      <c r="J16" s="12"/>
      <c r="K16" s="12">
        <v>1</v>
      </c>
      <c r="L16" s="12" t="s">
        <v>37</v>
      </c>
      <c r="M16" s="5" t="s">
        <v>96</v>
      </c>
      <c r="N16" s="5">
        <f t="shared" si="0"/>
        <v>2</v>
      </c>
      <c r="O16" s="2" t="str">
        <f t="shared" si="1"/>
        <v>Uma vez por dia por um período de 1 semana</v>
      </c>
      <c r="P16" t="s">
        <v>59</v>
      </c>
      <c r="Q16" t="s">
        <v>68</v>
      </c>
      <c r="R16" t="s">
        <v>69</v>
      </c>
      <c r="S16">
        <v>0.111</v>
      </c>
    </row>
    <row r="17" spans="1:19" x14ac:dyDescent="0.25">
      <c r="A17" s="2" t="s">
        <v>30</v>
      </c>
      <c r="B17" s="2" t="s">
        <v>86</v>
      </c>
      <c r="C17" s="2" t="s">
        <v>97</v>
      </c>
      <c r="D17" s="5">
        <v>1</v>
      </c>
      <c r="E17" s="5">
        <v>2</v>
      </c>
      <c r="F17" s="5">
        <v>6</v>
      </c>
      <c r="G17" s="12">
        <v>1</v>
      </c>
      <c r="H17" s="12" t="s">
        <v>36</v>
      </c>
      <c r="I17" s="12"/>
      <c r="J17" s="12"/>
      <c r="K17" s="12">
        <v>7</v>
      </c>
      <c r="L17" s="12" t="s">
        <v>36</v>
      </c>
      <c r="M17" s="5" t="s">
        <v>98</v>
      </c>
      <c r="N17" s="5">
        <f t="shared" si="0"/>
        <v>2</v>
      </c>
      <c r="O17" s="2" t="str">
        <f t="shared" si="1"/>
        <v>Uma vez por dia por um período de 7 dias</v>
      </c>
      <c r="P17" t="s">
        <v>59</v>
      </c>
      <c r="Q17" t="s">
        <v>99</v>
      </c>
      <c r="R17" t="s">
        <v>100</v>
      </c>
      <c r="S17">
        <v>0.182</v>
      </c>
    </row>
    <row r="18" spans="1:19" x14ac:dyDescent="0.25">
      <c r="A18" s="2" t="s">
        <v>30</v>
      </c>
      <c r="B18" s="2" t="s">
        <v>86</v>
      </c>
      <c r="C18" s="2" t="s">
        <v>101</v>
      </c>
      <c r="D18" s="5">
        <v>1</v>
      </c>
      <c r="E18" s="5">
        <v>2</v>
      </c>
      <c r="F18" s="5">
        <v>7</v>
      </c>
      <c r="G18" s="12">
        <v>1</v>
      </c>
      <c r="H18" s="12" t="s">
        <v>36</v>
      </c>
      <c r="I18" s="12">
        <v>3</v>
      </c>
      <c r="J18" s="12" t="s">
        <v>36</v>
      </c>
      <c r="K18" s="12">
        <v>2</v>
      </c>
      <c r="L18" s="12" t="s">
        <v>37</v>
      </c>
      <c r="M18" s="5" t="s">
        <v>102</v>
      </c>
      <c r="N18" s="5">
        <f t="shared" si="0"/>
        <v>2</v>
      </c>
      <c r="O18" s="2" t="str">
        <f t="shared" si="1"/>
        <v>Uma vez por dia, a cada 3 dias, por um período de 2 semanas</v>
      </c>
      <c r="P18" t="s">
        <v>59</v>
      </c>
      <c r="Q18" t="s">
        <v>60</v>
      </c>
      <c r="R18" t="s">
        <v>61</v>
      </c>
      <c r="S18">
        <v>0</v>
      </c>
    </row>
    <row r="19" spans="1:19" x14ac:dyDescent="0.25">
      <c r="A19" s="2" t="s">
        <v>30</v>
      </c>
      <c r="B19" s="2" t="s">
        <v>86</v>
      </c>
      <c r="C19" s="2" t="s">
        <v>103</v>
      </c>
      <c r="D19" s="5">
        <v>1</v>
      </c>
      <c r="E19" s="5">
        <v>2</v>
      </c>
      <c r="F19" s="5">
        <v>8</v>
      </c>
      <c r="G19" s="12">
        <v>1</v>
      </c>
      <c r="H19" s="12" t="s">
        <v>36</v>
      </c>
      <c r="I19" s="12"/>
      <c r="J19" s="12"/>
      <c r="K19" s="12">
        <v>1</v>
      </c>
      <c r="L19" s="12" t="s">
        <v>36</v>
      </c>
      <c r="M19" s="5" t="s">
        <v>104</v>
      </c>
      <c r="N19" s="5">
        <f t="shared" si="0"/>
        <v>2</v>
      </c>
      <c r="O19" s="2" t="str">
        <f t="shared" si="1"/>
        <v>Pelo menos uma vez</v>
      </c>
      <c r="P19" t="s">
        <v>59</v>
      </c>
      <c r="Q19" t="s">
        <v>60</v>
      </c>
      <c r="R19" t="s">
        <v>61</v>
      </c>
      <c r="S19">
        <v>0</v>
      </c>
    </row>
    <row r="20" spans="1:19" x14ac:dyDescent="0.25">
      <c r="A20" s="2" t="s">
        <v>30</v>
      </c>
      <c r="B20" s="2" t="s">
        <v>86</v>
      </c>
      <c r="C20" s="2" t="s">
        <v>105</v>
      </c>
      <c r="D20" s="5">
        <v>1</v>
      </c>
      <c r="E20" s="5">
        <v>2</v>
      </c>
      <c r="F20" s="5">
        <v>9</v>
      </c>
      <c r="G20" s="12">
        <v>1</v>
      </c>
      <c r="H20" s="12" t="s">
        <v>36</v>
      </c>
      <c r="I20" s="12"/>
      <c r="J20" s="12"/>
      <c r="K20" s="12">
        <v>7</v>
      </c>
      <c r="L20" s="12" t="s">
        <v>36</v>
      </c>
      <c r="M20" s="5" t="s">
        <v>106</v>
      </c>
      <c r="N20" s="5">
        <f t="shared" si="0"/>
        <v>2</v>
      </c>
      <c r="O20" s="2" t="str">
        <f t="shared" si="1"/>
        <v>Uma vez por dia por um período de 7 dias</v>
      </c>
      <c r="P20" t="s">
        <v>59</v>
      </c>
      <c r="Q20" t="s">
        <v>68</v>
      </c>
      <c r="R20" t="s">
        <v>69</v>
      </c>
      <c r="S20">
        <v>0.111</v>
      </c>
    </row>
    <row r="21" spans="1:19" x14ac:dyDescent="0.25">
      <c r="A21" s="2" t="s">
        <v>30</v>
      </c>
      <c r="B21" s="2" t="s">
        <v>86</v>
      </c>
      <c r="C21" s="2" t="s">
        <v>107</v>
      </c>
      <c r="D21" s="5">
        <v>1</v>
      </c>
      <c r="E21" s="5">
        <v>2</v>
      </c>
      <c r="F21" s="5">
        <v>10</v>
      </c>
      <c r="G21" s="12">
        <v>1</v>
      </c>
      <c r="H21" s="12" t="s">
        <v>36</v>
      </c>
      <c r="I21" s="12"/>
      <c r="J21" s="12"/>
      <c r="K21" s="12">
        <v>1</v>
      </c>
      <c r="L21" s="12" t="s">
        <v>36</v>
      </c>
      <c r="M21" s="5" t="s">
        <v>108</v>
      </c>
      <c r="N21" s="5">
        <f t="shared" si="0"/>
        <v>2</v>
      </c>
      <c r="O21" s="2" t="str">
        <f t="shared" si="1"/>
        <v>Pelo menos uma vez</v>
      </c>
      <c r="P21" t="s">
        <v>59</v>
      </c>
      <c r="Q21" t="s">
        <v>68</v>
      </c>
      <c r="R21" t="s">
        <v>69</v>
      </c>
      <c r="S21">
        <v>0.111</v>
      </c>
    </row>
    <row r="22" spans="1:19" x14ac:dyDescent="0.25">
      <c r="A22" s="2" t="s">
        <v>30</v>
      </c>
      <c r="B22" s="2" t="s">
        <v>86</v>
      </c>
      <c r="C22" s="2" t="s">
        <v>109</v>
      </c>
      <c r="D22" s="5">
        <v>1</v>
      </c>
      <c r="E22" s="5">
        <v>2</v>
      </c>
      <c r="F22" s="5">
        <v>11</v>
      </c>
      <c r="G22" s="12">
        <v>1</v>
      </c>
      <c r="H22" s="12" t="s">
        <v>36</v>
      </c>
      <c r="I22" s="12">
        <v>1</v>
      </c>
      <c r="J22" s="12" t="s">
        <v>36</v>
      </c>
      <c r="K22" s="12">
        <v>7</v>
      </c>
      <c r="L22" s="12" t="s">
        <v>36</v>
      </c>
      <c r="M22" s="5" t="s">
        <v>110</v>
      </c>
      <c r="N22" s="5">
        <f t="shared" si="0"/>
        <v>2</v>
      </c>
      <c r="O22" s="2" t="str">
        <f t="shared" si="1"/>
        <v>Uma vez por dia, a cada 1 dia, por um período de 7 dias</v>
      </c>
      <c r="P22" t="s">
        <v>59</v>
      </c>
      <c r="Q22" t="s">
        <v>64</v>
      </c>
      <c r="R22" t="s">
        <v>65</v>
      </c>
      <c r="S22">
        <v>0.125</v>
      </c>
    </row>
    <row r="23" spans="1:19" x14ac:dyDescent="0.25">
      <c r="A23" s="2" t="s">
        <v>30</v>
      </c>
      <c r="B23" s="2" t="s">
        <v>86</v>
      </c>
      <c r="C23" s="2" t="s">
        <v>111</v>
      </c>
      <c r="D23" s="5">
        <v>1</v>
      </c>
      <c r="E23" s="5">
        <v>2</v>
      </c>
      <c r="F23" s="5">
        <v>12</v>
      </c>
      <c r="G23" s="12">
        <v>1</v>
      </c>
      <c r="H23" s="12" t="s">
        <v>36</v>
      </c>
      <c r="I23" s="12"/>
      <c r="J23" s="12"/>
      <c r="K23" s="12">
        <v>7</v>
      </c>
      <c r="L23" s="12" t="s">
        <v>36</v>
      </c>
      <c r="M23" s="5" t="s">
        <v>112</v>
      </c>
      <c r="N23" s="5">
        <f t="shared" si="0"/>
        <v>2</v>
      </c>
      <c r="O23" s="2" t="str">
        <f t="shared" si="1"/>
        <v>Uma vez por dia por um período de 7 dias</v>
      </c>
      <c r="P23" t="s">
        <v>59</v>
      </c>
      <c r="Q23" t="s">
        <v>68</v>
      </c>
      <c r="R23" t="s">
        <v>69</v>
      </c>
      <c r="S23">
        <v>0.125</v>
      </c>
    </row>
    <row r="24" spans="1:19" x14ac:dyDescent="0.25">
      <c r="A24" s="2" t="s">
        <v>30</v>
      </c>
      <c r="B24" s="2" t="s">
        <v>113</v>
      </c>
      <c r="C24" s="2" t="s">
        <v>114</v>
      </c>
      <c r="D24" s="5">
        <v>1</v>
      </c>
      <c r="E24" s="5">
        <v>3</v>
      </c>
      <c r="F24" s="5">
        <v>1</v>
      </c>
      <c r="G24" s="12">
        <v>1</v>
      </c>
      <c r="H24" s="12" t="s">
        <v>37</v>
      </c>
      <c r="I24" s="12"/>
      <c r="J24" s="12"/>
      <c r="K24" s="12">
        <v>2</v>
      </c>
      <c r="L24" s="12" t="s">
        <v>37</v>
      </c>
      <c r="M24" s="5" t="s">
        <v>115</v>
      </c>
      <c r="N24" s="5">
        <f t="shared" si="0"/>
        <v>3</v>
      </c>
      <c r="O24" s="2" t="str">
        <f t="shared" si="1"/>
        <v>Uma vez por semana por um período de 2 semanas</v>
      </c>
      <c r="P24" t="s">
        <v>59</v>
      </c>
      <c r="Q24" t="s">
        <v>60</v>
      </c>
      <c r="R24" t="s">
        <v>61</v>
      </c>
      <c r="S24">
        <v>0</v>
      </c>
    </row>
    <row r="25" spans="1:19" x14ac:dyDescent="0.25">
      <c r="A25" s="2" t="s">
        <v>30</v>
      </c>
      <c r="B25" s="2" t="s">
        <v>113</v>
      </c>
      <c r="C25" s="2" t="s">
        <v>116</v>
      </c>
      <c r="D25" s="5">
        <v>1</v>
      </c>
      <c r="E25" s="5">
        <v>3</v>
      </c>
      <c r="F25" s="5">
        <v>2</v>
      </c>
      <c r="G25" s="12">
        <v>1</v>
      </c>
      <c r="H25" s="12" t="s">
        <v>37</v>
      </c>
      <c r="I25" s="12"/>
      <c r="J25" s="12"/>
      <c r="K25" s="12">
        <v>4</v>
      </c>
      <c r="L25" s="12" t="s">
        <v>37</v>
      </c>
      <c r="M25" s="5" t="s">
        <v>117</v>
      </c>
      <c r="N25" s="5">
        <f t="shared" si="0"/>
        <v>3</v>
      </c>
      <c r="O25" s="2" t="str">
        <f t="shared" si="1"/>
        <v>Uma vez por semana por um período de 4 semanas</v>
      </c>
      <c r="P25" t="s">
        <v>59</v>
      </c>
      <c r="Q25" t="s">
        <v>60</v>
      </c>
      <c r="R25" t="s">
        <v>61</v>
      </c>
      <c r="S25">
        <v>0</v>
      </c>
    </row>
    <row r="26" spans="1:19" x14ac:dyDescent="0.25">
      <c r="A26" s="2" t="s">
        <v>30</v>
      </c>
      <c r="B26" s="2" t="s">
        <v>113</v>
      </c>
      <c r="C26" s="2" t="s">
        <v>118</v>
      </c>
      <c r="D26" s="5">
        <v>1</v>
      </c>
      <c r="E26" s="5">
        <v>3</v>
      </c>
      <c r="F26" s="5">
        <v>3</v>
      </c>
      <c r="G26" s="12">
        <v>1</v>
      </c>
      <c r="H26" s="12" t="s">
        <v>37</v>
      </c>
      <c r="I26" s="12"/>
      <c r="J26" s="12"/>
      <c r="K26" s="12">
        <v>2</v>
      </c>
      <c r="L26" s="12" t="s">
        <v>37</v>
      </c>
      <c r="M26" s="5" t="s">
        <v>119</v>
      </c>
      <c r="N26" s="5">
        <f t="shared" si="0"/>
        <v>3</v>
      </c>
      <c r="O26" s="2" t="str">
        <f t="shared" si="1"/>
        <v>Uma vez por semana por um período de 2 semanas</v>
      </c>
      <c r="P26" t="s">
        <v>59</v>
      </c>
      <c r="Q26" t="s">
        <v>120</v>
      </c>
      <c r="R26" t="s">
        <v>121</v>
      </c>
      <c r="S26">
        <v>0.111</v>
      </c>
    </row>
    <row r="27" spans="1:19" x14ac:dyDescent="0.25">
      <c r="A27" s="2" t="s">
        <v>30</v>
      </c>
      <c r="B27" s="2" t="s">
        <v>113</v>
      </c>
      <c r="C27" s="2" t="s">
        <v>122</v>
      </c>
      <c r="D27" s="5">
        <v>1</v>
      </c>
      <c r="E27" s="5">
        <v>3</v>
      </c>
      <c r="F27" s="5">
        <v>4</v>
      </c>
      <c r="G27" s="12">
        <v>1</v>
      </c>
      <c r="H27" s="12" t="s">
        <v>37</v>
      </c>
      <c r="I27" s="12"/>
      <c r="J27" s="12"/>
      <c r="K27" s="12">
        <v>4</v>
      </c>
      <c r="L27" s="12" t="s">
        <v>37</v>
      </c>
      <c r="M27" s="5" t="s">
        <v>123</v>
      </c>
      <c r="N27" s="5">
        <f t="shared" si="0"/>
        <v>3</v>
      </c>
      <c r="O27" s="2" t="str">
        <f t="shared" si="1"/>
        <v>Uma vez por semana por um período de 4 semanas</v>
      </c>
      <c r="P27" t="s">
        <v>59</v>
      </c>
      <c r="Q27" t="s">
        <v>60</v>
      </c>
      <c r="R27" t="s">
        <v>61</v>
      </c>
      <c r="S27">
        <v>0</v>
      </c>
    </row>
    <row r="28" spans="1:19" x14ac:dyDescent="0.25">
      <c r="A28" s="2" t="s">
        <v>30</v>
      </c>
      <c r="B28" s="2" t="s">
        <v>113</v>
      </c>
      <c r="C28" s="2" t="s">
        <v>124</v>
      </c>
      <c r="D28" s="5">
        <v>1</v>
      </c>
      <c r="E28" s="5">
        <v>3</v>
      </c>
      <c r="F28" s="5">
        <v>5</v>
      </c>
      <c r="G28" s="12">
        <v>1</v>
      </c>
      <c r="H28" s="12" t="s">
        <v>37</v>
      </c>
      <c r="I28" s="12"/>
      <c r="J28" s="12"/>
      <c r="K28" s="12">
        <v>3</v>
      </c>
      <c r="L28" s="12" t="s">
        <v>37</v>
      </c>
      <c r="M28" s="5" t="s">
        <v>125</v>
      </c>
      <c r="N28" s="5">
        <f t="shared" si="0"/>
        <v>3</v>
      </c>
      <c r="O28" s="2" t="str">
        <f t="shared" si="1"/>
        <v>Uma vez por semana por um período de 3 semanas</v>
      </c>
      <c r="P28" t="s">
        <v>59</v>
      </c>
      <c r="Q28" t="s">
        <v>78</v>
      </c>
      <c r="R28" t="s">
        <v>79</v>
      </c>
      <c r="S28">
        <v>0.111</v>
      </c>
    </row>
    <row r="29" spans="1:19" x14ac:dyDescent="0.25">
      <c r="A29" s="2" t="s">
        <v>30</v>
      </c>
      <c r="B29" s="2" t="s">
        <v>113</v>
      </c>
      <c r="C29" s="2" t="s">
        <v>126</v>
      </c>
      <c r="D29" s="5">
        <v>1</v>
      </c>
      <c r="E29" s="5">
        <v>3</v>
      </c>
      <c r="F29" s="5">
        <v>6</v>
      </c>
      <c r="G29" s="12">
        <v>1</v>
      </c>
      <c r="H29" s="12" t="s">
        <v>37</v>
      </c>
      <c r="I29" s="12"/>
      <c r="J29" s="12"/>
      <c r="K29" s="12">
        <v>3</v>
      </c>
      <c r="L29" s="12" t="s">
        <v>37</v>
      </c>
      <c r="M29" s="5" t="s">
        <v>127</v>
      </c>
      <c r="N29" s="5">
        <f t="shared" si="0"/>
        <v>3</v>
      </c>
      <c r="O29" s="2" t="str">
        <f t="shared" si="1"/>
        <v>Uma vez por semana por um período de 3 semanas</v>
      </c>
      <c r="P29" t="s">
        <v>59</v>
      </c>
      <c r="Q29" t="s">
        <v>64</v>
      </c>
      <c r="R29" t="s">
        <v>65</v>
      </c>
      <c r="S29">
        <v>0.125</v>
      </c>
    </row>
    <row r="30" spans="1:19" x14ac:dyDescent="0.25">
      <c r="A30" s="2" t="s">
        <v>30</v>
      </c>
      <c r="B30" s="2" t="s">
        <v>113</v>
      </c>
      <c r="C30" s="2" t="s">
        <v>128</v>
      </c>
      <c r="D30" s="5">
        <v>1</v>
      </c>
      <c r="E30" s="5">
        <v>3</v>
      </c>
      <c r="F30" s="5">
        <v>7</v>
      </c>
      <c r="G30" s="12">
        <v>1</v>
      </c>
      <c r="H30" s="12" t="s">
        <v>37</v>
      </c>
      <c r="I30" s="12"/>
      <c r="J30" s="12"/>
      <c r="K30" s="12">
        <v>1</v>
      </c>
      <c r="L30" s="12" t="s">
        <v>37</v>
      </c>
      <c r="M30" s="5" t="s">
        <v>129</v>
      </c>
      <c r="N30" s="5">
        <f t="shared" si="0"/>
        <v>3</v>
      </c>
      <c r="O30" s="2" t="str">
        <f t="shared" si="1"/>
        <v>Uma vez por semana por um período de 1 semana</v>
      </c>
      <c r="P30" t="s">
        <v>59</v>
      </c>
      <c r="Q30" t="s">
        <v>60</v>
      </c>
      <c r="R30" t="s">
        <v>61</v>
      </c>
      <c r="S30">
        <v>0</v>
      </c>
    </row>
    <row r="31" spans="1:19" x14ac:dyDescent="0.25">
      <c r="A31" s="2" t="s">
        <v>30</v>
      </c>
      <c r="B31" s="2" t="s">
        <v>113</v>
      </c>
      <c r="C31" s="2" t="s">
        <v>130</v>
      </c>
      <c r="D31" s="5">
        <v>1</v>
      </c>
      <c r="E31" s="5">
        <v>3</v>
      </c>
      <c r="F31" s="5">
        <v>8</v>
      </c>
      <c r="G31" s="12">
        <v>1</v>
      </c>
      <c r="H31" s="12" t="s">
        <v>37</v>
      </c>
      <c r="I31" s="12"/>
      <c r="J31" s="12"/>
      <c r="K31" s="12">
        <v>2</v>
      </c>
      <c r="L31" s="12" t="s">
        <v>37</v>
      </c>
      <c r="M31" s="5" t="s">
        <v>131</v>
      </c>
      <c r="N31" s="5">
        <f t="shared" si="0"/>
        <v>3</v>
      </c>
      <c r="O31" s="2" t="str">
        <f t="shared" si="1"/>
        <v>Uma vez por semana por um período de 2 semanas</v>
      </c>
      <c r="P31" t="s">
        <v>59</v>
      </c>
      <c r="Q31" t="s">
        <v>60</v>
      </c>
      <c r="R31" t="s">
        <v>61</v>
      </c>
      <c r="S31">
        <v>0.1</v>
      </c>
    </row>
    <row r="32" spans="1:19" x14ac:dyDescent="0.25">
      <c r="A32" s="2" t="s">
        <v>30</v>
      </c>
      <c r="B32" s="2" t="s">
        <v>113</v>
      </c>
      <c r="C32" s="2" t="s">
        <v>132</v>
      </c>
      <c r="D32" s="5">
        <v>1</v>
      </c>
      <c r="E32" s="5">
        <v>3</v>
      </c>
      <c r="F32" s="5">
        <v>9</v>
      </c>
      <c r="G32" s="12">
        <v>1</v>
      </c>
      <c r="H32" s="12" t="s">
        <v>37</v>
      </c>
      <c r="I32" s="12"/>
      <c r="J32" s="12"/>
      <c r="K32" s="12">
        <v>4</v>
      </c>
      <c r="L32" s="12" t="s">
        <v>37</v>
      </c>
      <c r="M32" s="5" t="s">
        <v>133</v>
      </c>
      <c r="N32" s="5">
        <f t="shared" si="0"/>
        <v>3</v>
      </c>
      <c r="O32" s="2" t="str">
        <f t="shared" si="1"/>
        <v>Uma vez por semana por um período de 4 semanas</v>
      </c>
      <c r="P32" t="s">
        <v>59</v>
      </c>
      <c r="Q32" t="s">
        <v>68</v>
      </c>
      <c r="R32" t="s">
        <v>69</v>
      </c>
      <c r="S32">
        <v>0.111</v>
      </c>
    </row>
    <row r="33" spans="1:19" x14ac:dyDescent="0.25">
      <c r="A33" s="2" t="s">
        <v>30</v>
      </c>
      <c r="B33" s="2" t="s">
        <v>113</v>
      </c>
      <c r="C33" s="2" t="s">
        <v>134</v>
      </c>
      <c r="D33" s="5">
        <v>1</v>
      </c>
      <c r="E33" s="5">
        <v>3</v>
      </c>
      <c r="F33" s="5">
        <v>10</v>
      </c>
      <c r="G33" s="12">
        <v>1</v>
      </c>
      <c r="H33" s="12" t="s">
        <v>37</v>
      </c>
      <c r="I33" s="12"/>
      <c r="J33" s="12"/>
      <c r="K33" s="12">
        <v>4</v>
      </c>
      <c r="L33" s="12" t="s">
        <v>37</v>
      </c>
      <c r="M33" s="5" t="s">
        <v>135</v>
      </c>
      <c r="N33" s="5">
        <f t="shared" si="0"/>
        <v>3</v>
      </c>
      <c r="O33" s="2" t="str">
        <f t="shared" si="1"/>
        <v>Uma vez por semana por um período de 4 semanas</v>
      </c>
      <c r="P33" t="s">
        <v>59</v>
      </c>
      <c r="Q33" t="s">
        <v>99</v>
      </c>
      <c r="R33" t="s">
        <v>100</v>
      </c>
      <c r="S33">
        <v>0.1</v>
      </c>
    </row>
    <row r="34" spans="1:19" x14ac:dyDescent="0.25">
      <c r="A34" s="2" t="s">
        <v>30</v>
      </c>
      <c r="B34" s="2" t="s">
        <v>113</v>
      </c>
      <c r="C34" s="2" t="s">
        <v>136</v>
      </c>
      <c r="D34" s="5">
        <v>1</v>
      </c>
      <c r="E34" s="5">
        <v>3</v>
      </c>
      <c r="F34" s="5">
        <v>11</v>
      </c>
      <c r="G34" s="12">
        <v>3</v>
      </c>
      <c r="H34" s="12" t="s">
        <v>37</v>
      </c>
      <c r="I34" s="12"/>
      <c r="J34" s="12"/>
      <c r="K34" s="12">
        <v>3</v>
      </c>
      <c r="L34" s="12" t="s">
        <v>37</v>
      </c>
      <c r="M34" s="5" t="s">
        <v>137</v>
      </c>
      <c r="N34" s="5">
        <f t="shared" si="0"/>
        <v>3</v>
      </c>
      <c r="O34" s="2" t="str">
        <f t="shared" si="1"/>
        <v>3 vezes por semana por um período de 3 semanas</v>
      </c>
      <c r="P34" t="s">
        <v>59</v>
      </c>
      <c r="Q34" t="s">
        <v>60</v>
      </c>
      <c r="R34" t="s">
        <v>61</v>
      </c>
      <c r="S34">
        <v>0</v>
      </c>
    </row>
    <row r="35" spans="1:19" x14ac:dyDescent="0.25">
      <c r="A35" s="2" t="s">
        <v>30</v>
      </c>
      <c r="B35" s="2" t="s">
        <v>113</v>
      </c>
      <c r="C35" s="2" t="s">
        <v>138</v>
      </c>
      <c r="D35" s="5">
        <v>1</v>
      </c>
      <c r="E35" s="5">
        <v>3</v>
      </c>
      <c r="F35" s="5">
        <v>12</v>
      </c>
      <c r="G35" s="12">
        <v>1</v>
      </c>
      <c r="H35" s="12" t="s">
        <v>37</v>
      </c>
      <c r="I35" s="12"/>
      <c r="J35" s="12"/>
      <c r="K35" s="12">
        <v>2</v>
      </c>
      <c r="L35" s="12" t="s">
        <v>37</v>
      </c>
      <c r="M35" s="5" t="s">
        <v>139</v>
      </c>
      <c r="N35" s="5">
        <f t="shared" si="0"/>
        <v>3</v>
      </c>
      <c r="O35" s="2" t="str">
        <f t="shared" si="1"/>
        <v>Uma vez por semana por um período de 2 semanas</v>
      </c>
      <c r="P35" t="s">
        <v>59</v>
      </c>
      <c r="Q35" t="s">
        <v>68</v>
      </c>
      <c r="R35" t="s">
        <v>69</v>
      </c>
      <c r="S35">
        <v>0.125</v>
      </c>
    </row>
    <row r="36" spans="1:19" x14ac:dyDescent="0.25">
      <c r="A36" s="2" t="s">
        <v>30</v>
      </c>
      <c r="B36" s="2" t="s">
        <v>113</v>
      </c>
      <c r="C36" s="2" t="s">
        <v>140</v>
      </c>
      <c r="D36" s="5">
        <v>1</v>
      </c>
      <c r="E36" s="5">
        <v>3</v>
      </c>
      <c r="F36" s="5">
        <v>13</v>
      </c>
      <c r="G36" s="12">
        <v>1</v>
      </c>
      <c r="H36" s="12" t="s">
        <v>37</v>
      </c>
      <c r="I36" s="12"/>
      <c r="J36" s="12"/>
      <c r="K36" s="12">
        <v>3</v>
      </c>
      <c r="L36" s="12" t="s">
        <v>37</v>
      </c>
      <c r="M36" s="5" t="s">
        <v>141</v>
      </c>
      <c r="N36" s="5">
        <f t="shared" si="0"/>
        <v>3</v>
      </c>
      <c r="O36" s="2" t="str">
        <f t="shared" si="1"/>
        <v>Uma vez por semana por um período de 3 semanas</v>
      </c>
      <c r="P36" t="s">
        <v>59</v>
      </c>
      <c r="Q36" t="s">
        <v>68</v>
      </c>
      <c r="R36" t="s">
        <v>69</v>
      </c>
      <c r="S36">
        <v>0.125</v>
      </c>
    </row>
    <row r="37" spans="1:19" x14ac:dyDescent="0.25">
      <c r="A37" s="2" t="s">
        <v>30</v>
      </c>
      <c r="B37" s="2" t="s">
        <v>113</v>
      </c>
      <c r="C37" s="2" t="s">
        <v>142</v>
      </c>
      <c r="D37" s="5">
        <v>1</v>
      </c>
      <c r="E37" s="5">
        <v>3</v>
      </c>
      <c r="F37" s="5">
        <v>14</v>
      </c>
      <c r="G37" s="12">
        <v>1</v>
      </c>
      <c r="H37" s="12" t="s">
        <v>37</v>
      </c>
      <c r="I37" s="12"/>
      <c r="J37" s="12"/>
      <c r="K37" s="12">
        <v>1</v>
      </c>
      <c r="L37" s="12" t="s">
        <v>37</v>
      </c>
      <c r="M37" s="5" t="s">
        <v>143</v>
      </c>
      <c r="N37" s="5">
        <f t="shared" si="0"/>
        <v>3</v>
      </c>
      <c r="O37" s="2" t="str">
        <f t="shared" si="1"/>
        <v>Uma vez por semana por um período de 1 semana</v>
      </c>
      <c r="P37" t="s">
        <v>59</v>
      </c>
      <c r="Q37" t="s">
        <v>60</v>
      </c>
      <c r="R37" t="s">
        <v>61</v>
      </c>
      <c r="S37">
        <v>0</v>
      </c>
    </row>
    <row r="38" spans="1:19" x14ac:dyDescent="0.25">
      <c r="A38" s="2" t="s">
        <v>30</v>
      </c>
      <c r="B38" s="2" t="s">
        <v>113</v>
      </c>
      <c r="C38" s="2" t="s">
        <v>144</v>
      </c>
      <c r="D38" s="5">
        <v>1</v>
      </c>
      <c r="E38" s="5">
        <v>3</v>
      </c>
      <c r="F38" s="5">
        <v>15</v>
      </c>
      <c r="G38" s="12">
        <v>1</v>
      </c>
      <c r="H38" s="12" t="s">
        <v>37</v>
      </c>
      <c r="I38" s="12"/>
      <c r="J38" s="12"/>
      <c r="K38" s="12">
        <v>4</v>
      </c>
      <c r="L38" s="12" t="s">
        <v>37</v>
      </c>
      <c r="M38" s="5" t="s">
        <v>145</v>
      </c>
      <c r="N38" s="5">
        <f t="shared" si="0"/>
        <v>3</v>
      </c>
      <c r="O38" s="2" t="str">
        <f t="shared" si="1"/>
        <v>Uma vez por semana por um período de 4 semanas</v>
      </c>
      <c r="P38" t="s">
        <v>59</v>
      </c>
      <c r="Q38" t="s">
        <v>60</v>
      </c>
      <c r="R38" t="s">
        <v>61</v>
      </c>
      <c r="S38">
        <v>0</v>
      </c>
    </row>
    <row r="39" spans="1:19" x14ac:dyDescent="0.25">
      <c r="A39" s="2" t="s">
        <v>31</v>
      </c>
      <c r="B39" s="2" t="s">
        <v>57</v>
      </c>
      <c r="C39" s="2" t="s">
        <v>146</v>
      </c>
      <c r="D39" s="5">
        <v>3</v>
      </c>
      <c r="E39" s="5">
        <v>1</v>
      </c>
      <c r="F39" s="5">
        <v>1</v>
      </c>
      <c r="G39" s="5">
        <v>1</v>
      </c>
      <c r="H39" s="5" t="s">
        <v>36</v>
      </c>
      <c r="I39" s="5"/>
      <c r="J39" s="5"/>
      <c r="K39" s="5">
        <v>1</v>
      </c>
      <c r="L39" s="5" t="s">
        <v>37</v>
      </c>
      <c r="M39" s="5" t="str">
        <f t="shared" ref="M39:M102" si="2">LEFT(A39,2)&amp;LEFT(B39,1)&amp;TEXT(F39,"000")&amp;"-"&amp;(G39)&amp;H39&amp;(K39)&amp;L39</f>
        <v>EsB001-1d1s</v>
      </c>
      <c r="N39" s="5">
        <v>1</v>
      </c>
      <c r="O39" s="2" t="str">
        <f>IF(
  AND(G39="",H39="",I39="",J39="",K39="",L39=""),
  "Fique atento para a primeira oportunidade que surgir",
  IF(AND(G39=0,LOWER(H39)="d",K39=0,LOWER(L39)="d"),
     "Fique atento para a primeira oportunidade que surgir",
     IF(AND(G39=1,LOWER(H39)="d",K39=1,LOWER(L39)="d"),
        "Pelo menos uma vez",
        IF(G39=0,"O dia inteiro",IF(G39=1,"Uma vez",TEXT(G39,"0")&amp;" vezes")&amp;" por "&amp;IF(LOWER(H39)="d","dia","semana"))
        &amp;IF(AND(ISNUMBER(I39),I39&gt;0),", a cada "&amp;TEXT(I39,"0")&amp;" "&amp;IF(I39=1,IF(LOWER(J39)="d","dia","semana"),IF(LOWER(J39)="d","dias","semanas"))&amp;",","")
        &amp;" por um período de "&amp;TEXT(K39,"0")&amp;" "&amp;IF(K39=1,IF(LOWER(L39)="d","dia","semana"),IF(LOWER(L39)="d","dias","semanas"))
     )
  )
)</f>
        <v>Uma vez por dia por um período de 1 semana</v>
      </c>
      <c r="P39" t="s">
        <v>147</v>
      </c>
      <c r="Q39" t="s">
        <v>148</v>
      </c>
      <c r="R39" t="s">
        <v>149</v>
      </c>
      <c r="S39">
        <v>0.125</v>
      </c>
    </row>
    <row r="40" spans="1:19" x14ac:dyDescent="0.25">
      <c r="A40" s="2" t="s">
        <v>31</v>
      </c>
      <c r="B40" s="2" t="s">
        <v>57</v>
      </c>
      <c r="C40" s="2" t="s">
        <v>150</v>
      </c>
      <c r="D40" s="5">
        <v>3</v>
      </c>
      <c r="E40" s="5">
        <v>1</v>
      </c>
      <c r="F40" s="5">
        <v>2</v>
      </c>
      <c r="G40" s="5">
        <v>1</v>
      </c>
      <c r="H40" s="5" t="s">
        <v>36</v>
      </c>
      <c r="I40" s="5"/>
      <c r="J40" s="5"/>
      <c r="K40" s="5">
        <v>1</v>
      </c>
      <c r="L40" s="5" t="s">
        <v>37</v>
      </c>
      <c r="M40" s="5" t="str">
        <f t="shared" si="2"/>
        <v>EsB002-1d1s</v>
      </c>
      <c r="N40" s="5">
        <v>1</v>
      </c>
      <c r="O40" s="2" t="str">
        <f>IF(
  AND(G40="",H40="",I40="",J40="",K40="",L40=""),
  "Fique atento para a primeira oportunidade que surgir",
  IF(AND(G40=0,LOWER(H40)="d",K40=0,LOWER(L40)="d"),
     "Fique atento para a primeira oportunidade que surgir",
     IF(AND(G40=1,LOWER(H40)="d",K40=1,LOWER(L40)="d"),
        "Pelo menos uma vez",
        IF(G40=0,"O dia inteiro",IF(G40=1,"Uma vez",TEXT(G40,"0")&amp;" vezes")&amp;" por "&amp;IF(LOWER(H40)="d","dia","semana"))
        &amp;IF(AND(ISNUMBER(I40),I40&gt;0),", a cada "&amp;TEXT(I40,"0")&amp;" "&amp;IF(I40=1,IF(LOWER(J40)="d","dia","semana"),IF(LOWER(J40)="d","dias","semanas"))&amp;",","")
        &amp;" por um período de "&amp;TEXT(K40,"0")&amp;" "&amp;IF(K40=1,IF(LOWER(L40)="d","dia","semana"),IF(LOWER(L40)="d","dias","semanas"))
     )
  )
)</f>
        <v>Uma vez por dia por um período de 1 semana</v>
      </c>
      <c r="P40" t="s">
        <v>147</v>
      </c>
      <c r="Q40" t="s">
        <v>151</v>
      </c>
      <c r="R40" t="s">
        <v>152</v>
      </c>
      <c r="S40">
        <v>0</v>
      </c>
    </row>
    <row r="41" spans="1:19" x14ac:dyDescent="0.25">
      <c r="A41" s="2" t="s">
        <v>31</v>
      </c>
      <c r="B41" s="2" t="s">
        <v>57</v>
      </c>
      <c r="C41" s="2" t="s">
        <v>153</v>
      </c>
      <c r="D41" s="5">
        <v>3</v>
      </c>
      <c r="E41" s="5">
        <v>1</v>
      </c>
      <c r="F41" s="5">
        <v>3</v>
      </c>
      <c r="G41" s="5">
        <v>1</v>
      </c>
      <c r="H41" s="5" t="s">
        <v>36</v>
      </c>
      <c r="I41" s="5"/>
      <c r="J41" s="5"/>
      <c r="K41" s="5">
        <v>7</v>
      </c>
      <c r="L41" s="5" t="s">
        <v>37</v>
      </c>
      <c r="M41" s="5" t="str">
        <f t="shared" si="2"/>
        <v>EsB003-1d7s</v>
      </c>
      <c r="N41" s="5">
        <v>1</v>
      </c>
      <c r="O41" s="2" t="str">
        <f t="shared" ref="O41:O75" si="3">IF(
AND(G41="",H41="",I41="",J41="",K41="",L41=""),
"Fique atento para a primeira oportunidade que surgir",
IF(AND(G41=0,LOWER(H41)="d",K41=0,LOWER(L41)="d"),
"Fique atento para a primeira oportunidade que surgir",
IF(AND(G41=1,LOWER(H41)="d",K41=1,LOWER(L41)="d"),
"Pelo menos uma vez",
IF(G41=0,"O dia inteiro",IF(G41=1,"Uma vez",TEXT(G41,"0")&amp;" vezes")&amp;" por "&amp;IF(LOWER(H41)="d","dia","semana"))
&amp;IF(AND(ISNUMBER(I41),I41&gt;0),", a cada "&amp;TEXT(I41,"0")&amp;" "&amp;IF(I41=1,IF(LOWER(J41)="d","dia","semana"),IF(LOWER(J41)="d","dias","semanas"))&amp;",","")
&amp;" por um período de "&amp;TEXT(K41,"0")&amp;" "&amp;IF(K41=1,IF(LOWER(L41)="d","dia","semana"),IF(LOWER(L41)="d","dias","semanas"))
)
)
)</f>
        <v>Uma vez por dia por um período de 7 semanas</v>
      </c>
      <c r="P41" t="s">
        <v>147</v>
      </c>
      <c r="Q41" t="s">
        <v>151</v>
      </c>
      <c r="R41" t="s">
        <v>152</v>
      </c>
      <c r="S41">
        <v>0</v>
      </c>
    </row>
    <row r="42" spans="1:19" x14ac:dyDescent="0.25">
      <c r="A42" s="2" t="s">
        <v>31</v>
      </c>
      <c r="B42" s="2" t="s">
        <v>57</v>
      </c>
      <c r="C42" s="2" t="s">
        <v>154</v>
      </c>
      <c r="D42" s="5">
        <v>3</v>
      </c>
      <c r="E42" s="5">
        <v>1</v>
      </c>
      <c r="F42" s="5">
        <v>4</v>
      </c>
      <c r="G42" s="5">
        <v>1</v>
      </c>
      <c r="H42" s="5" t="s">
        <v>37</v>
      </c>
      <c r="I42" s="5"/>
      <c r="J42" s="5"/>
      <c r="K42" s="5">
        <v>2</v>
      </c>
      <c r="L42" s="5" t="s">
        <v>37</v>
      </c>
      <c r="M42" s="5" t="str">
        <f t="shared" si="2"/>
        <v>EsB004-1s2s</v>
      </c>
      <c r="N42" s="5">
        <v>1</v>
      </c>
      <c r="O42" s="2" t="str">
        <f t="shared" si="3"/>
        <v>Uma vez por semana por um período de 2 semanas</v>
      </c>
      <c r="P42" t="s">
        <v>147</v>
      </c>
      <c r="Q42" t="s">
        <v>155</v>
      </c>
      <c r="R42" t="s">
        <v>156</v>
      </c>
      <c r="S42">
        <v>0.16700000000000001</v>
      </c>
    </row>
    <row r="43" spans="1:19" x14ac:dyDescent="0.25">
      <c r="A43" s="2" t="s">
        <v>31</v>
      </c>
      <c r="B43" s="2" t="s">
        <v>57</v>
      </c>
      <c r="C43" s="2" t="s">
        <v>157</v>
      </c>
      <c r="D43" s="5">
        <v>3</v>
      </c>
      <c r="E43" s="5">
        <v>1</v>
      </c>
      <c r="F43" s="5">
        <v>5</v>
      </c>
      <c r="G43" s="5">
        <v>1</v>
      </c>
      <c r="H43" s="5" t="s">
        <v>36</v>
      </c>
      <c r="I43" s="5"/>
      <c r="J43" s="5"/>
      <c r="K43" s="5">
        <v>10</v>
      </c>
      <c r="L43" s="5" t="s">
        <v>36</v>
      </c>
      <c r="M43" s="5" t="str">
        <f t="shared" si="2"/>
        <v>EsB005-1d10d</v>
      </c>
      <c r="N43" s="5">
        <v>1</v>
      </c>
      <c r="O43" s="2" t="str">
        <f t="shared" si="3"/>
        <v>Uma vez por dia por um período de 10 dias</v>
      </c>
      <c r="P43" t="s">
        <v>147</v>
      </c>
      <c r="Q43" t="s">
        <v>151</v>
      </c>
      <c r="R43" t="s">
        <v>152</v>
      </c>
      <c r="S43">
        <v>0</v>
      </c>
    </row>
    <row r="44" spans="1:19" x14ac:dyDescent="0.25">
      <c r="A44" s="2" t="s">
        <v>31</v>
      </c>
      <c r="B44" s="2" t="s">
        <v>57</v>
      </c>
      <c r="C44" s="2" t="s">
        <v>158</v>
      </c>
      <c r="D44" s="5">
        <v>3</v>
      </c>
      <c r="E44" s="5">
        <v>1</v>
      </c>
      <c r="F44" s="5">
        <v>6</v>
      </c>
      <c r="G44" s="5">
        <v>1</v>
      </c>
      <c r="H44" s="5" t="s">
        <v>36</v>
      </c>
      <c r="I44" s="5"/>
      <c r="J44" s="5"/>
      <c r="K44" s="5">
        <v>2</v>
      </c>
      <c r="L44" s="5" t="s">
        <v>37</v>
      </c>
      <c r="M44" s="5" t="str">
        <f t="shared" si="2"/>
        <v>EsB006-1d2s</v>
      </c>
      <c r="N44" s="5">
        <v>1</v>
      </c>
      <c r="O44" s="2" t="str">
        <f t="shared" si="3"/>
        <v>Uma vez por dia por um período de 2 semanas</v>
      </c>
      <c r="P44" t="s">
        <v>147</v>
      </c>
      <c r="Q44" t="s">
        <v>148</v>
      </c>
      <c r="R44" t="s">
        <v>149</v>
      </c>
      <c r="S44">
        <v>0.125</v>
      </c>
    </row>
    <row r="45" spans="1:19" x14ac:dyDescent="0.25">
      <c r="A45" s="2" t="s">
        <v>31</v>
      </c>
      <c r="B45" s="2" t="s">
        <v>57</v>
      </c>
      <c r="C45" s="2" t="s">
        <v>159</v>
      </c>
      <c r="D45" s="5">
        <v>3</v>
      </c>
      <c r="E45" s="5">
        <v>1</v>
      </c>
      <c r="F45" s="5">
        <v>7</v>
      </c>
      <c r="G45" s="5">
        <v>1</v>
      </c>
      <c r="H45" s="5" t="s">
        <v>36</v>
      </c>
      <c r="I45" s="5">
        <v>2</v>
      </c>
      <c r="J45" s="5" t="s">
        <v>36</v>
      </c>
      <c r="K45" s="5">
        <v>2</v>
      </c>
      <c r="L45" s="5" t="s">
        <v>37</v>
      </c>
      <c r="M45" s="5" t="str">
        <f t="shared" si="2"/>
        <v>EsB007-1d2s</v>
      </c>
      <c r="N45" s="5">
        <v>1</v>
      </c>
      <c r="O45" s="2" t="str">
        <f t="shared" si="3"/>
        <v>Uma vez por dia, a cada 2 dias, por um período de 2 semanas</v>
      </c>
      <c r="P45" t="s">
        <v>147</v>
      </c>
      <c r="Q45" t="s">
        <v>160</v>
      </c>
      <c r="R45" t="s">
        <v>161</v>
      </c>
      <c r="S45">
        <v>0.28599999999999998</v>
      </c>
    </row>
    <row r="46" spans="1:19" x14ac:dyDescent="0.25">
      <c r="A46" s="2" t="s">
        <v>31</v>
      </c>
      <c r="B46" s="2" t="s">
        <v>57</v>
      </c>
      <c r="C46" s="2" t="s">
        <v>162</v>
      </c>
      <c r="D46" s="5">
        <v>3</v>
      </c>
      <c r="E46" s="5">
        <v>1</v>
      </c>
      <c r="F46" s="5">
        <v>8</v>
      </c>
      <c r="G46" s="5">
        <v>2</v>
      </c>
      <c r="H46" s="5" t="s">
        <v>36</v>
      </c>
      <c r="I46" s="5"/>
      <c r="J46" s="5"/>
      <c r="K46" s="5">
        <v>1</v>
      </c>
      <c r="L46" s="5" t="s">
        <v>37</v>
      </c>
      <c r="M46" s="5" t="str">
        <f t="shared" si="2"/>
        <v>EsB008-2d1s</v>
      </c>
      <c r="N46" s="5">
        <v>1</v>
      </c>
      <c r="O46" s="2" t="str">
        <f t="shared" si="3"/>
        <v>2 vezes por dia por um período de 1 semana</v>
      </c>
      <c r="P46" t="s">
        <v>147</v>
      </c>
      <c r="Q46" t="s">
        <v>151</v>
      </c>
      <c r="R46" t="s">
        <v>152</v>
      </c>
      <c r="S46">
        <v>0</v>
      </c>
    </row>
    <row r="47" spans="1:19" x14ac:dyDescent="0.25">
      <c r="A47" s="2" t="s">
        <v>31</v>
      </c>
      <c r="B47" s="2" t="s">
        <v>57</v>
      </c>
      <c r="C47" s="2" t="s">
        <v>163</v>
      </c>
      <c r="D47" s="5">
        <v>3</v>
      </c>
      <c r="E47" s="5">
        <v>1</v>
      </c>
      <c r="F47" s="5">
        <v>9</v>
      </c>
      <c r="G47" s="5">
        <v>1</v>
      </c>
      <c r="H47" s="5" t="s">
        <v>36</v>
      </c>
      <c r="I47" s="5">
        <v>3</v>
      </c>
      <c r="J47" s="5" t="s">
        <v>36</v>
      </c>
      <c r="K47" s="5">
        <v>1</v>
      </c>
      <c r="L47" s="5" t="s">
        <v>37</v>
      </c>
      <c r="M47" s="5" t="str">
        <f t="shared" si="2"/>
        <v>EsB009-1d1s</v>
      </c>
      <c r="N47" s="5">
        <v>1</v>
      </c>
      <c r="O47" s="2" t="str">
        <f t="shared" si="3"/>
        <v>Uma vez por dia, a cada 3 dias, por um período de 1 semana</v>
      </c>
      <c r="P47" t="s">
        <v>147</v>
      </c>
      <c r="Q47" t="s">
        <v>151</v>
      </c>
      <c r="R47" t="s">
        <v>152</v>
      </c>
      <c r="S47">
        <v>0</v>
      </c>
    </row>
    <row r="48" spans="1:19" x14ac:dyDescent="0.25">
      <c r="A48" s="2" t="s">
        <v>31</v>
      </c>
      <c r="B48" s="2" t="s">
        <v>57</v>
      </c>
      <c r="C48" s="2" t="s">
        <v>164</v>
      </c>
      <c r="D48" s="5">
        <v>3</v>
      </c>
      <c r="E48" s="5">
        <v>1</v>
      </c>
      <c r="F48" s="5">
        <v>10</v>
      </c>
      <c r="G48" s="5">
        <v>1</v>
      </c>
      <c r="H48" s="5" t="s">
        <v>37</v>
      </c>
      <c r="I48" s="5"/>
      <c r="J48" s="5"/>
      <c r="K48" s="5">
        <v>1</v>
      </c>
      <c r="L48" s="5" t="s">
        <v>37</v>
      </c>
      <c r="M48" s="5" t="str">
        <f t="shared" si="2"/>
        <v>EsB010-1s1s</v>
      </c>
      <c r="N48" s="5">
        <v>1</v>
      </c>
      <c r="O48" s="2" t="str">
        <f t="shared" si="3"/>
        <v>Uma vez por semana por um período de 1 semana</v>
      </c>
      <c r="P48" t="s">
        <v>147</v>
      </c>
      <c r="Q48" t="s">
        <v>155</v>
      </c>
      <c r="R48" t="s">
        <v>156</v>
      </c>
      <c r="S48">
        <v>0.16700000000000001</v>
      </c>
    </row>
    <row r="49" spans="1:19" x14ac:dyDescent="0.25">
      <c r="A49" s="2" t="s">
        <v>31</v>
      </c>
      <c r="B49" s="2" t="s">
        <v>86</v>
      </c>
      <c r="C49" s="2" t="s">
        <v>165</v>
      </c>
      <c r="D49" s="5">
        <v>3</v>
      </c>
      <c r="E49" s="5">
        <v>2</v>
      </c>
      <c r="F49" s="5">
        <v>1</v>
      </c>
      <c r="G49" s="5">
        <v>1</v>
      </c>
      <c r="H49" s="5" t="s">
        <v>36</v>
      </c>
      <c r="I49" s="5">
        <v>7</v>
      </c>
      <c r="J49" s="5" t="s">
        <v>36</v>
      </c>
      <c r="K49" s="5">
        <v>4</v>
      </c>
      <c r="L49" s="5" t="s">
        <v>37</v>
      </c>
      <c r="M49" s="5" t="str">
        <f t="shared" si="2"/>
        <v>EsD001-1d4s</v>
      </c>
      <c r="N49" s="5">
        <v>2</v>
      </c>
      <c r="O49" s="2" t="str">
        <f t="shared" si="3"/>
        <v>Uma vez por dia, a cada 7 dias, por um período de 4 semanas</v>
      </c>
      <c r="P49" t="s">
        <v>147</v>
      </c>
      <c r="Q49" t="s">
        <v>151</v>
      </c>
      <c r="R49" t="s">
        <v>152</v>
      </c>
      <c r="S49">
        <v>0</v>
      </c>
    </row>
    <row r="50" spans="1:19" x14ac:dyDescent="0.25">
      <c r="A50" s="2" t="s">
        <v>31</v>
      </c>
      <c r="B50" s="2" t="s">
        <v>86</v>
      </c>
      <c r="C50" s="2" t="s">
        <v>166</v>
      </c>
      <c r="D50" s="5">
        <v>3</v>
      </c>
      <c r="E50" s="5">
        <v>2</v>
      </c>
      <c r="F50" s="5">
        <v>2</v>
      </c>
      <c r="G50" s="5">
        <v>1</v>
      </c>
      <c r="H50" s="5" t="s">
        <v>36</v>
      </c>
      <c r="I50" s="5">
        <v>7</v>
      </c>
      <c r="J50" s="5" t="s">
        <v>36</v>
      </c>
      <c r="K50" s="5">
        <v>3</v>
      </c>
      <c r="L50" s="5" t="s">
        <v>37</v>
      </c>
      <c r="M50" s="5" t="str">
        <f t="shared" si="2"/>
        <v>EsD002-1d3s</v>
      </c>
      <c r="N50" s="5">
        <v>2</v>
      </c>
      <c r="O50" s="2" t="str">
        <f t="shared" si="3"/>
        <v>Uma vez por dia, a cada 7 dias, por um período de 3 semanas</v>
      </c>
      <c r="P50" t="s">
        <v>147</v>
      </c>
      <c r="Q50" t="s">
        <v>151</v>
      </c>
      <c r="R50" t="s">
        <v>152</v>
      </c>
      <c r="S50">
        <v>0</v>
      </c>
    </row>
    <row r="51" spans="1:19" x14ac:dyDescent="0.25">
      <c r="A51" s="2" t="s">
        <v>31</v>
      </c>
      <c r="B51" s="2" t="s">
        <v>86</v>
      </c>
      <c r="C51" s="2" t="s">
        <v>167</v>
      </c>
      <c r="D51" s="5">
        <v>3</v>
      </c>
      <c r="E51" s="5">
        <v>2</v>
      </c>
      <c r="F51" s="5">
        <v>3</v>
      </c>
      <c r="G51" s="5">
        <v>1</v>
      </c>
      <c r="H51" s="5" t="s">
        <v>36</v>
      </c>
      <c r="I51" s="5">
        <v>2</v>
      </c>
      <c r="J51" s="5" t="s">
        <v>36</v>
      </c>
      <c r="K51" s="5">
        <v>2</v>
      </c>
      <c r="L51" s="5" t="s">
        <v>37</v>
      </c>
      <c r="M51" s="5" t="str">
        <f t="shared" si="2"/>
        <v>EsD003-1d2s</v>
      </c>
      <c r="N51" s="5">
        <v>2</v>
      </c>
      <c r="O51" s="2" t="str">
        <f t="shared" si="3"/>
        <v>Uma vez por dia, a cada 2 dias, por um período de 2 semanas</v>
      </c>
      <c r="P51" t="s">
        <v>147</v>
      </c>
      <c r="Q51" t="s">
        <v>151</v>
      </c>
      <c r="R51" t="s">
        <v>152</v>
      </c>
      <c r="S51">
        <v>0</v>
      </c>
    </row>
    <row r="52" spans="1:19" x14ac:dyDescent="0.25">
      <c r="A52" s="2" t="s">
        <v>31</v>
      </c>
      <c r="B52" s="2" t="s">
        <v>86</v>
      </c>
      <c r="C52" s="2" t="s">
        <v>168</v>
      </c>
      <c r="D52" s="5">
        <v>3</v>
      </c>
      <c r="E52" s="5">
        <v>2</v>
      </c>
      <c r="F52" s="5">
        <v>4</v>
      </c>
      <c r="G52" s="5">
        <v>1</v>
      </c>
      <c r="H52" s="5" t="s">
        <v>37</v>
      </c>
      <c r="I52" s="5"/>
      <c r="J52" s="5"/>
      <c r="K52" s="5">
        <v>3</v>
      </c>
      <c r="L52" s="5" t="s">
        <v>37</v>
      </c>
      <c r="M52" s="5" t="str">
        <f t="shared" si="2"/>
        <v>EsD004-1s3s</v>
      </c>
      <c r="N52" s="5">
        <v>2</v>
      </c>
      <c r="O52" s="2" t="str">
        <f t="shared" si="3"/>
        <v>Uma vez por semana por um período de 3 semanas</v>
      </c>
      <c r="P52" t="s">
        <v>147</v>
      </c>
      <c r="Q52" t="s">
        <v>169</v>
      </c>
      <c r="R52" t="s">
        <v>170</v>
      </c>
      <c r="S52">
        <v>0.125</v>
      </c>
    </row>
    <row r="53" spans="1:19" x14ac:dyDescent="0.25">
      <c r="A53" s="2" t="s">
        <v>31</v>
      </c>
      <c r="B53" s="2" t="s">
        <v>86</v>
      </c>
      <c r="C53" s="2" t="s">
        <v>171</v>
      </c>
      <c r="D53" s="5">
        <v>3</v>
      </c>
      <c r="E53" s="5">
        <v>2</v>
      </c>
      <c r="F53" s="5">
        <v>5</v>
      </c>
      <c r="G53" s="5">
        <v>1</v>
      </c>
      <c r="H53" s="5" t="s">
        <v>37</v>
      </c>
      <c r="I53" s="5"/>
      <c r="J53" s="5"/>
      <c r="K53" s="5">
        <v>2</v>
      </c>
      <c r="L53" s="5" t="s">
        <v>37</v>
      </c>
      <c r="M53" s="5" t="str">
        <f t="shared" si="2"/>
        <v>EsD005-1s2s</v>
      </c>
      <c r="N53" s="5">
        <v>2</v>
      </c>
      <c r="O53" s="2" t="str">
        <f t="shared" si="3"/>
        <v>Uma vez por semana por um período de 2 semanas</v>
      </c>
      <c r="P53" t="s">
        <v>147</v>
      </c>
      <c r="Q53" t="s">
        <v>151</v>
      </c>
      <c r="R53" t="s">
        <v>152</v>
      </c>
      <c r="S53">
        <v>0</v>
      </c>
    </row>
    <row r="54" spans="1:19" x14ac:dyDescent="0.25">
      <c r="A54" s="2" t="s">
        <v>31</v>
      </c>
      <c r="B54" s="2" t="s">
        <v>86</v>
      </c>
      <c r="C54" s="2" t="s">
        <v>172</v>
      </c>
      <c r="D54" s="5">
        <v>3</v>
      </c>
      <c r="E54" s="5">
        <v>2</v>
      </c>
      <c r="F54" s="5">
        <v>6</v>
      </c>
      <c r="G54" s="5">
        <v>1</v>
      </c>
      <c r="H54" s="5" t="s">
        <v>37</v>
      </c>
      <c r="I54" s="5"/>
      <c r="J54" s="5"/>
      <c r="K54" s="5">
        <v>3</v>
      </c>
      <c r="L54" s="5" t="s">
        <v>37</v>
      </c>
      <c r="M54" s="5" t="str">
        <f t="shared" si="2"/>
        <v>EsD006-1s3s</v>
      </c>
      <c r="N54" s="5">
        <v>2</v>
      </c>
      <c r="O54" s="2" t="str">
        <f t="shared" si="3"/>
        <v>Uma vez por semana por um período de 3 semanas</v>
      </c>
      <c r="P54" t="s">
        <v>147</v>
      </c>
      <c r="Q54" t="s">
        <v>151</v>
      </c>
      <c r="R54" t="s">
        <v>152</v>
      </c>
      <c r="S54">
        <v>0</v>
      </c>
    </row>
    <row r="55" spans="1:19" x14ac:dyDescent="0.25">
      <c r="A55" s="2" t="s">
        <v>31</v>
      </c>
      <c r="B55" s="2" t="s">
        <v>86</v>
      </c>
      <c r="C55" s="2" t="s">
        <v>173</v>
      </c>
      <c r="D55" s="5">
        <v>3</v>
      </c>
      <c r="E55" s="5">
        <v>2</v>
      </c>
      <c r="F55" s="5">
        <v>7</v>
      </c>
      <c r="G55" s="5">
        <v>1</v>
      </c>
      <c r="H55" s="5" t="s">
        <v>37</v>
      </c>
      <c r="I55" s="5"/>
      <c r="J55" s="5"/>
      <c r="K55" s="5">
        <v>3</v>
      </c>
      <c r="L55" s="5" t="s">
        <v>37</v>
      </c>
      <c r="M55" s="5" t="str">
        <f t="shared" si="2"/>
        <v>EsD007-1s3s</v>
      </c>
      <c r="N55" s="5">
        <v>2</v>
      </c>
      <c r="O55" s="2" t="str">
        <f t="shared" si="3"/>
        <v>Uma vez por semana por um período de 3 semanas</v>
      </c>
      <c r="P55" t="s">
        <v>147</v>
      </c>
      <c r="Q55" t="s">
        <v>151</v>
      </c>
      <c r="R55" t="s">
        <v>152</v>
      </c>
      <c r="S55">
        <v>0</v>
      </c>
    </row>
    <row r="56" spans="1:19" x14ac:dyDescent="0.25">
      <c r="A56" s="2" t="s">
        <v>31</v>
      </c>
      <c r="B56" s="2" t="s">
        <v>86</v>
      </c>
      <c r="C56" s="2" t="s">
        <v>174</v>
      </c>
      <c r="D56" s="5">
        <v>3</v>
      </c>
      <c r="E56" s="5">
        <v>2</v>
      </c>
      <c r="F56" s="5">
        <v>8</v>
      </c>
      <c r="G56" s="5">
        <v>1</v>
      </c>
      <c r="H56" s="5" t="s">
        <v>37</v>
      </c>
      <c r="I56" s="5"/>
      <c r="J56" s="5"/>
      <c r="K56" s="5">
        <v>3</v>
      </c>
      <c r="L56" s="5" t="s">
        <v>37</v>
      </c>
      <c r="M56" s="5" t="str">
        <f t="shared" si="2"/>
        <v>EsD008-1s3s</v>
      </c>
      <c r="N56" s="5">
        <v>2</v>
      </c>
      <c r="O56" s="2" t="str">
        <f t="shared" si="3"/>
        <v>Uma vez por semana por um período de 3 semanas</v>
      </c>
      <c r="P56" t="s">
        <v>147</v>
      </c>
      <c r="Q56" t="s">
        <v>169</v>
      </c>
      <c r="R56" t="s">
        <v>170</v>
      </c>
      <c r="S56">
        <v>0.125</v>
      </c>
    </row>
    <row r="57" spans="1:19" x14ac:dyDescent="0.25">
      <c r="A57" s="2" t="s">
        <v>31</v>
      </c>
      <c r="B57" s="2" t="s">
        <v>86</v>
      </c>
      <c r="C57" s="2" t="s">
        <v>175</v>
      </c>
      <c r="D57" s="5">
        <v>3</v>
      </c>
      <c r="E57" s="5">
        <v>2</v>
      </c>
      <c r="F57" s="5">
        <v>9</v>
      </c>
      <c r="G57" s="5">
        <v>1</v>
      </c>
      <c r="H57" s="5" t="s">
        <v>37</v>
      </c>
      <c r="I57" s="5"/>
      <c r="J57" s="5"/>
      <c r="K57" s="5">
        <v>4</v>
      </c>
      <c r="L57" s="5" t="s">
        <v>37</v>
      </c>
      <c r="M57" s="5" t="str">
        <f t="shared" si="2"/>
        <v>EsD009-1s4s</v>
      </c>
      <c r="N57" s="5">
        <v>2</v>
      </c>
      <c r="O57" s="2" t="str">
        <f t="shared" si="3"/>
        <v>Uma vez por semana por um período de 4 semanas</v>
      </c>
      <c r="P57" t="s">
        <v>147</v>
      </c>
      <c r="Q57" t="s">
        <v>151</v>
      </c>
      <c r="R57" t="s">
        <v>152</v>
      </c>
      <c r="S57">
        <v>0</v>
      </c>
    </row>
    <row r="58" spans="1:19" x14ac:dyDescent="0.25">
      <c r="A58" s="2" t="s">
        <v>31</v>
      </c>
      <c r="B58" s="2" t="s">
        <v>86</v>
      </c>
      <c r="C58" s="2" t="s">
        <v>176</v>
      </c>
      <c r="D58" s="5">
        <v>3</v>
      </c>
      <c r="E58" s="5">
        <v>2</v>
      </c>
      <c r="F58" s="5">
        <v>10</v>
      </c>
      <c r="G58" s="5">
        <v>3</v>
      </c>
      <c r="H58" s="5" t="s">
        <v>37</v>
      </c>
      <c r="I58" s="5"/>
      <c r="J58" s="5"/>
      <c r="K58" s="5">
        <v>1</v>
      </c>
      <c r="L58" s="5" t="s">
        <v>37</v>
      </c>
      <c r="M58" s="5" t="str">
        <f t="shared" si="2"/>
        <v>EsD010-3s1s</v>
      </c>
      <c r="N58" s="5">
        <v>2</v>
      </c>
      <c r="O58" s="2" t="str">
        <f t="shared" si="3"/>
        <v>3 vezes por semana por um período de 1 semana</v>
      </c>
      <c r="P58" t="s">
        <v>147</v>
      </c>
      <c r="Q58" t="s">
        <v>151</v>
      </c>
      <c r="R58" t="s">
        <v>152</v>
      </c>
      <c r="S58">
        <v>0</v>
      </c>
    </row>
    <row r="59" spans="1:19" x14ac:dyDescent="0.25">
      <c r="A59" s="2" t="s">
        <v>31</v>
      </c>
      <c r="B59" s="2" t="s">
        <v>86</v>
      </c>
      <c r="C59" s="2" t="s">
        <v>177</v>
      </c>
      <c r="D59" s="5">
        <v>3</v>
      </c>
      <c r="E59" s="5">
        <v>2</v>
      </c>
      <c r="F59" s="5">
        <v>11</v>
      </c>
      <c r="G59" s="5">
        <v>1</v>
      </c>
      <c r="H59" s="5" t="s">
        <v>36</v>
      </c>
      <c r="I59" s="5">
        <v>2</v>
      </c>
      <c r="J59" s="5" t="s">
        <v>36</v>
      </c>
      <c r="K59" s="5">
        <v>3</v>
      </c>
      <c r="L59" s="5" t="s">
        <v>37</v>
      </c>
      <c r="M59" s="5" t="str">
        <f t="shared" si="2"/>
        <v>EsD011-1d3s</v>
      </c>
      <c r="N59" s="5">
        <v>2</v>
      </c>
      <c r="O59" s="2" t="str">
        <f t="shared" si="3"/>
        <v>Uma vez por dia, a cada 2 dias, por um período de 3 semanas</v>
      </c>
      <c r="P59" t="s">
        <v>147</v>
      </c>
      <c r="Q59" t="s">
        <v>151</v>
      </c>
      <c r="R59" t="s">
        <v>152</v>
      </c>
      <c r="S59">
        <v>0</v>
      </c>
    </row>
    <row r="60" spans="1:19" x14ac:dyDescent="0.25">
      <c r="A60" s="2" t="s">
        <v>31</v>
      </c>
      <c r="B60" s="2" t="s">
        <v>86</v>
      </c>
      <c r="C60" s="2" t="s">
        <v>178</v>
      </c>
      <c r="D60" s="5">
        <v>3</v>
      </c>
      <c r="E60" s="5">
        <v>2</v>
      </c>
      <c r="F60" s="5">
        <v>12</v>
      </c>
      <c r="G60" s="5">
        <v>1</v>
      </c>
      <c r="H60" s="5" t="s">
        <v>37</v>
      </c>
      <c r="I60" s="5"/>
      <c r="J60" s="5"/>
      <c r="K60" s="5">
        <v>1</v>
      </c>
      <c r="L60" s="5" t="s">
        <v>37</v>
      </c>
      <c r="M60" s="5" t="str">
        <f t="shared" si="2"/>
        <v>EsD012-1s1s</v>
      </c>
      <c r="N60" s="5">
        <v>2</v>
      </c>
      <c r="O60" s="2" t="str">
        <f t="shared" si="3"/>
        <v>Uma vez por semana por um período de 1 semana</v>
      </c>
      <c r="P60" t="s">
        <v>147</v>
      </c>
      <c r="Q60" t="s">
        <v>155</v>
      </c>
      <c r="R60" t="s">
        <v>156</v>
      </c>
      <c r="S60">
        <v>0.14299999999999999</v>
      </c>
    </row>
    <row r="61" spans="1:19" x14ac:dyDescent="0.25">
      <c r="A61" s="2" t="s">
        <v>31</v>
      </c>
      <c r="B61" s="2" t="s">
        <v>113</v>
      </c>
      <c r="C61" s="2" t="s">
        <v>179</v>
      </c>
      <c r="D61" s="5">
        <v>3</v>
      </c>
      <c r="E61" s="5">
        <v>3</v>
      </c>
      <c r="F61" s="5">
        <v>1</v>
      </c>
      <c r="G61" s="5">
        <v>1</v>
      </c>
      <c r="H61" s="5" t="s">
        <v>36</v>
      </c>
      <c r="I61" s="5">
        <v>3</v>
      </c>
      <c r="J61" s="5" t="s">
        <v>37</v>
      </c>
      <c r="K61" s="5">
        <v>3</v>
      </c>
      <c r="L61" s="5" t="s">
        <v>37</v>
      </c>
      <c r="M61" s="5" t="str">
        <f t="shared" si="2"/>
        <v>EsA001-1d3s</v>
      </c>
      <c r="N61" s="5">
        <v>3</v>
      </c>
      <c r="O61" s="2" t="str">
        <f t="shared" si="3"/>
        <v>Uma vez por dia, a cada 3 semanas, por um período de 3 semanas</v>
      </c>
      <c r="P61" t="s">
        <v>147</v>
      </c>
      <c r="Q61" t="s">
        <v>169</v>
      </c>
      <c r="R61" t="s">
        <v>170</v>
      </c>
      <c r="S61">
        <v>0.42899999999999999</v>
      </c>
    </row>
    <row r="62" spans="1:19" x14ac:dyDescent="0.25">
      <c r="A62" s="2" t="s">
        <v>31</v>
      </c>
      <c r="B62" s="2" t="s">
        <v>113</v>
      </c>
      <c r="C62" s="2" t="s">
        <v>180</v>
      </c>
      <c r="D62" s="5">
        <v>3</v>
      </c>
      <c r="E62" s="5">
        <v>3</v>
      </c>
      <c r="F62" s="5">
        <v>2</v>
      </c>
      <c r="G62" s="5">
        <v>3</v>
      </c>
      <c r="H62" s="5" t="s">
        <v>36</v>
      </c>
      <c r="I62" s="5">
        <v>1</v>
      </c>
      <c r="J62" s="5" t="s">
        <v>36</v>
      </c>
      <c r="K62" s="5">
        <v>5</v>
      </c>
      <c r="L62" s="5" t="s">
        <v>36</v>
      </c>
      <c r="M62" s="5" t="str">
        <f t="shared" si="2"/>
        <v>EsA002-3d5d</v>
      </c>
      <c r="N62" s="5">
        <v>3</v>
      </c>
      <c r="O62" s="2" t="str">
        <f t="shared" si="3"/>
        <v>3 vezes por dia, a cada 1 dia, por um período de 5 dias</v>
      </c>
      <c r="P62" t="s">
        <v>147</v>
      </c>
      <c r="Q62" t="s">
        <v>151</v>
      </c>
      <c r="R62" t="s">
        <v>152</v>
      </c>
      <c r="S62">
        <v>0</v>
      </c>
    </row>
    <row r="63" spans="1:19" x14ac:dyDescent="0.25">
      <c r="A63" s="2" t="s">
        <v>31</v>
      </c>
      <c r="B63" s="2" t="s">
        <v>113</v>
      </c>
      <c r="C63" s="2" t="s">
        <v>181</v>
      </c>
      <c r="D63" s="5">
        <v>3</v>
      </c>
      <c r="E63" s="5">
        <v>3</v>
      </c>
      <c r="F63" s="5">
        <v>3</v>
      </c>
      <c r="G63" s="5">
        <v>1</v>
      </c>
      <c r="H63" s="5" t="s">
        <v>36</v>
      </c>
      <c r="I63" s="5">
        <v>3</v>
      </c>
      <c r="J63" s="5" t="s">
        <v>36</v>
      </c>
      <c r="K63" s="5">
        <v>9</v>
      </c>
      <c r="L63" s="5" t="s">
        <v>36</v>
      </c>
      <c r="M63" s="5" t="str">
        <f t="shared" si="2"/>
        <v>EsA003-1d9d</v>
      </c>
      <c r="N63" s="5">
        <v>3</v>
      </c>
      <c r="O63" s="2" t="str">
        <f t="shared" si="3"/>
        <v>Uma vez por dia, a cada 3 dias, por um período de 9 dias</v>
      </c>
      <c r="P63" t="s">
        <v>147</v>
      </c>
      <c r="Q63" t="s">
        <v>151</v>
      </c>
      <c r="R63" t="s">
        <v>152</v>
      </c>
      <c r="S63">
        <v>0</v>
      </c>
    </row>
    <row r="64" spans="1:19" x14ac:dyDescent="0.25">
      <c r="A64" s="2" t="s">
        <v>31</v>
      </c>
      <c r="B64" s="2" t="s">
        <v>113</v>
      </c>
      <c r="C64" s="2" t="s">
        <v>182</v>
      </c>
      <c r="D64" s="5">
        <v>3</v>
      </c>
      <c r="E64" s="5">
        <v>3</v>
      </c>
      <c r="F64" s="5">
        <v>4</v>
      </c>
      <c r="G64" s="5">
        <v>1</v>
      </c>
      <c r="H64" s="5" t="s">
        <v>37</v>
      </c>
      <c r="I64" s="5">
        <v>1</v>
      </c>
      <c r="J64" s="5" t="s">
        <v>37</v>
      </c>
      <c r="K64" s="5">
        <v>2</v>
      </c>
      <c r="L64" s="5" t="s">
        <v>37</v>
      </c>
      <c r="M64" s="5" t="str">
        <f t="shared" si="2"/>
        <v>EsA004-1s2s</v>
      </c>
      <c r="N64" s="5">
        <v>3</v>
      </c>
      <c r="O64" s="2" t="str">
        <f t="shared" si="3"/>
        <v>Uma vez por semana, a cada 1 semana, por um período de 2 semanas</v>
      </c>
      <c r="P64" t="s">
        <v>147</v>
      </c>
      <c r="Q64" t="s">
        <v>151</v>
      </c>
      <c r="R64" t="s">
        <v>152</v>
      </c>
      <c r="S64">
        <v>0</v>
      </c>
    </row>
    <row r="65" spans="1:19" x14ac:dyDescent="0.25">
      <c r="A65" s="2" t="s">
        <v>31</v>
      </c>
      <c r="B65" s="2" t="s">
        <v>113</v>
      </c>
      <c r="C65" s="2" t="s">
        <v>183</v>
      </c>
      <c r="D65" s="5">
        <v>3</v>
      </c>
      <c r="E65" s="5">
        <v>3</v>
      </c>
      <c r="F65" s="5">
        <v>5</v>
      </c>
      <c r="G65" s="5">
        <v>1</v>
      </c>
      <c r="H65" s="5" t="s">
        <v>37</v>
      </c>
      <c r="I65" s="5"/>
      <c r="J65" s="5"/>
      <c r="K65" s="5">
        <v>1</v>
      </c>
      <c r="L65" s="5" t="s">
        <v>37</v>
      </c>
      <c r="M65" s="5" t="str">
        <f t="shared" si="2"/>
        <v>EsA005-1s1s</v>
      </c>
      <c r="N65" s="5">
        <v>3</v>
      </c>
      <c r="O65" s="2" t="str">
        <f t="shared" si="3"/>
        <v>Uma vez por semana por um período de 1 semana</v>
      </c>
      <c r="P65" t="s">
        <v>147</v>
      </c>
      <c r="Q65" t="s">
        <v>155</v>
      </c>
      <c r="R65" t="s">
        <v>156</v>
      </c>
      <c r="S65">
        <v>9.0999999999999998E-2</v>
      </c>
    </row>
    <row r="66" spans="1:19" x14ac:dyDescent="0.25">
      <c r="A66" s="2" t="s">
        <v>31</v>
      </c>
      <c r="B66" s="2" t="s">
        <v>113</v>
      </c>
      <c r="C66" s="2" t="s">
        <v>184</v>
      </c>
      <c r="D66" s="5">
        <v>3</v>
      </c>
      <c r="E66" s="5">
        <v>3</v>
      </c>
      <c r="F66" s="5">
        <v>6</v>
      </c>
      <c r="G66" s="5">
        <v>1</v>
      </c>
      <c r="H66" s="5" t="s">
        <v>37</v>
      </c>
      <c r="I66" s="5">
        <v>1</v>
      </c>
      <c r="J66" s="5" t="s">
        <v>37</v>
      </c>
      <c r="K66" s="5">
        <v>2</v>
      </c>
      <c r="L66" s="5" t="s">
        <v>37</v>
      </c>
      <c r="M66" s="5" t="str">
        <f t="shared" si="2"/>
        <v>EsA006-1s2s</v>
      </c>
      <c r="N66" s="5">
        <v>3</v>
      </c>
      <c r="O66" s="2" t="str">
        <f t="shared" si="3"/>
        <v>Uma vez por semana, a cada 1 semana, por um período de 2 semanas</v>
      </c>
      <c r="P66" t="s">
        <v>147</v>
      </c>
      <c r="Q66" t="s">
        <v>151</v>
      </c>
      <c r="R66" t="s">
        <v>152</v>
      </c>
      <c r="S66">
        <v>0</v>
      </c>
    </row>
    <row r="67" spans="1:19" x14ac:dyDescent="0.25">
      <c r="A67" s="2" t="s">
        <v>31</v>
      </c>
      <c r="B67" s="2" t="s">
        <v>113</v>
      </c>
      <c r="C67" s="2" t="s">
        <v>185</v>
      </c>
      <c r="D67" s="5">
        <v>3</v>
      </c>
      <c r="E67" s="5">
        <v>3</v>
      </c>
      <c r="F67" s="5">
        <v>7</v>
      </c>
      <c r="G67" s="5">
        <v>1</v>
      </c>
      <c r="H67" s="5" t="s">
        <v>36</v>
      </c>
      <c r="I67" s="5"/>
      <c r="J67" s="5"/>
      <c r="K67" s="5">
        <v>1</v>
      </c>
      <c r="L67" s="5" t="s">
        <v>37</v>
      </c>
      <c r="M67" s="5" t="str">
        <f t="shared" si="2"/>
        <v>EsA007-1d1s</v>
      </c>
      <c r="N67" s="5">
        <v>3</v>
      </c>
      <c r="O67" s="2" t="str">
        <f t="shared" si="3"/>
        <v>Uma vez por dia por um período de 1 semana</v>
      </c>
      <c r="P67" t="s">
        <v>147</v>
      </c>
      <c r="Q67" t="s">
        <v>151</v>
      </c>
      <c r="R67" t="s">
        <v>152</v>
      </c>
      <c r="S67">
        <v>0</v>
      </c>
    </row>
    <row r="68" spans="1:19" x14ac:dyDescent="0.25">
      <c r="A68" s="2" t="s">
        <v>31</v>
      </c>
      <c r="B68" s="2" t="s">
        <v>113</v>
      </c>
      <c r="C68" s="2" t="s">
        <v>186</v>
      </c>
      <c r="D68" s="5">
        <v>3</v>
      </c>
      <c r="E68" s="5">
        <v>3</v>
      </c>
      <c r="F68" s="5">
        <v>8</v>
      </c>
      <c r="G68" s="5">
        <v>1</v>
      </c>
      <c r="H68" s="5" t="s">
        <v>36</v>
      </c>
      <c r="I68" s="5">
        <v>3</v>
      </c>
      <c r="J68" s="5" t="s">
        <v>36</v>
      </c>
      <c r="K68" s="5">
        <v>9</v>
      </c>
      <c r="L68" s="5" t="s">
        <v>36</v>
      </c>
      <c r="M68" s="5" t="str">
        <f t="shared" si="2"/>
        <v>EsA008-1d9d</v>
      </c>
      <c r="N68" s="5">
        <v>3</v>
      </c>
      <c r="O68" s="2" t="str">
        <f t="shared" si="3"/>
        <v>Uma vez por dia, a cada 3 dias, por um período de 9 dias</v>
      </c>
      <c r="P68" t="s">
        <v>147</v>
      </c>
      <c r="Q68" t="s">
        <v>155</v>
      </c>
      <c r="R68" t="s">
        <v>156</v>
      </c>
      <c r="S68">
        <v>0.16700000000000001</v>
      </c>
    </row>
    <row r="69" spans="1:19" x14ac:dyDescent="0.25">
      <c r="A69" s="2" t="s">
        <v>31</v>
      </c>
      <c r="B69" s="2" t="s">
        <v>113</v>
      </c>
      <c r="C69" s="2" t="s">
        <v>187</v>
      </c>
      <c r="D69" s="5">
        <v>3</v>
      </c>
      <c r="E69" s="5">
        <v>3</v>
      </c>
      <c r="F69" s="5">
        <v>9</v>
      </c>
      <c r="G69" s="5">
        <v>1</v>
      </c>
      <c r="H69" s="5" t="s">
        <v>36</v>
      </c>
      <c r="I69" s="5">
        <v>2</v>
      </c>
      <c r="J69" s="5" t="s">
        <v>36</v>
      </c>
      <c r="K69" s="5">
        <v>1</v>
      </c>
      <c r="L69" s="5" t="s">
        <v>37</v>
      </c>
      <c r="M69" s="5" t="str">
        <f t="shared" si="2"/>
        <v>EsA009-1d1s</v>
      </c>
      <c r="N69" s="5">
        <v>3</v>
      </c>
      <c r="O69" s="2" t="str">
        <f t="shared" si="3"/>
        <v>Uma vez por dia, a cada 2 dias, por um período de 1 semana</v>
      </c>
      <c r="P69" t="s">
        <v>147</v>
      </c>
      <c r="Q69" t="s">
        <v>151</v>
      </c>
      <c r="R69" t="s">
        <v>152</v>
      </c>
      <c r="S69">
        <v>0</v>
      </c>
    </row>
    <row r="70" spans="1:19" x14ac:dyDescent="0.25">
      <c r="A70" s="2" t="s">
        <v>31</v>
      </c>
      <c r="B70" s="2" t="s">
        <v>113</v>
      </c>
      <c r="C70" s="2" t="s">
        <v>188</v>
      </c>
      <c r="D70" s="5">
        <v>3</v>
      </c>
      <c r="E70" s="5">
        <v>3</v>
      </c>
      <c r="F70" s="5">
        <v>10</v>
      </c>
      <c r="G70" s="5">
        <v>1</v>
      </c>
      <c r="H70" s="5" t="s">
        <v>37</v>
      </c>
      <c r="I70" s="5">
        <v>1</v>
      </c>
      <c r="J70" s="5" t="s">
        <v>37</v>
      </c>
      <c r="K70" s="5">
        <v>4</v>
      </c>
      <c r="L70" s="5" t="s">
        <v>37</v>
      </c>
      <c r="M70" s="5" t="str">
        <f t="shared" si="2"/>
        <v>EsA010-1s4s</v>
      </c>
      <c r="N70" s="5">
        <v>3</v>
      </c>
      <c r="O70" s="2" t="str">
        <f t="shared" si="3"/>
        <v>Uma vez por semana, a cada 1 semana, por um período de 4 semanas</v>
      </c>
      <c r="P70" t="s">
        <v>147</v>
      </c>
      <c r="Q70" t="s">
        <v>169</v>
      </c>
      <c r="R70" t="s">
        <v>170</v>
      </c>
      <c r="S70">
        <v>0.125</v>
      </c>
    </row>
    <row r="71" spans="1:19" x14ac:dyDescent="0.25">
      <c r="A71" s="2" t="s">
        <v>31</v>
      </c>
      <c r="B71" s="2" t="s">
        <v>113</v>
      </c>
      <c r="C71" s="2" t="s">
        <v>189</v>
      </c>
      <c r="D71" s="5">
        <v>3</v>
      </c>
      <c r="E71" s="5">
        <v>3</v>
      </c>
      <c r="F71" s="5">
        <v>11</v>
      </c>
      <c r="G71" s="5">
        <v>1</v>
      </c>
      <c r="H71" s="5" t="s">
        <v>36</v>
      </c>
      <c r="I71" s="5">
        <v>1</v>
      </c>
      <c r="J71" s="5" t="s">
        <v>36</v>
      </c>
      <c r="K71" s="5">
        <v>21</v>
      </c>
      <c r="L71" s="5" t="s">
        <v>36</v>
      </c>
      <c r="M71" s="5" t="str">
        <f t="shared" si="2"/>
        <v>EsA011-1d21d</v>
      </c>
      <c r="N71" s="5">
        <v>3</v>
      </c>
      <c r="O71" s="2" t="str">
        <f t="shared" si="3"/>
        <v>Uma vez por dia, a cada 1 dia, por um período de 21 dias</v>
      </c>
      <c r="P71" t="s">
        <v>147</v>
      </c>
      <c r="Q71" t="s">
        <v>151</v>
      </c>
      <c r="R71" t="s">
        <v>152</v>
      </c>
      <c r="S71">
        <v>0</v>
      </c>
    </row>
    <row r="72" spans="1:19" x14ac:dyDescent="0.25">
      <c r="A72" s="2" t="s">
        <v>31</v>
      </c>
      <c r="B72" s="2" t="s">
        <v>113</v>
      </c>
      <c r="C72" s="2" t="s">
        <v>190</v>
      </c>
      <c r="D72" s="5">
        <v>3</v>
      </c>
      <c r="E72" s="5">
        <v>3</v>
      </c>
      <c r="F72" s="5">
        <v>12</v>
      </c>
      <c r="G72" s="5">
        <v>1</v>
      </c>
      <c r="H72" s="5" t="s">
        <v>37</v>
      </c>
      <c r="I72" s="5">
        <v>2</v>
      </c>
      <c r="J72" s="5" t="s">
        <v>37</v>
      </c>
      <c r="K72" s="5">
        <v>4</v>
      </c>
      <c r="L72" s="5" t="s">
        <v>37</v>
      </c>
      <c r="M72" s="5" t="str">
        <f t="shared" si="2"/>
        <v>EsA012-1s4s</v>
      </c>
      <c r="N72" s="5">
        <v>3</v>
      </c>
      <c r="O72" s="2" t="str">
        <f t="shared" si="3"/>
        <v>Uma vez por semana, a cada 2 semanas, por um período de 4 semanas</v>
      </c>
      <c r="P72" t="s">
        <v>147</v>
      </c>
      <c r="Q72" t="s">
        <v>151</v>
      </c>
      <c r="R72" t="s">
        <v>152</v>
      </c>
      <c r="S72">
        <v>0</v>
      </c>
    </row>
    <row r="73" spans="1:19" x14ac:dyDescent="0.25">
      <c r="A73" s="2" t="s">
        <v>31</v>
      </c>
      <c r="B73" s="2" t="s">
        <v>113</v>
      </c>
      <c r="C73" s="2" t="s">
        <v>191</v>
      </c>
      <c r="D73" s="5">
        <v>3</v>
      </c>
      <c r="E73" s="5">
        <v>3</v>
      </c>
      <c r="F73" s="5">
        <v>13</v>
      </c>
      <c r="G73" s="5">
        <v>0</v>
      </c>
      <c r="H73" s="5" t="s">
        <v>36</v>
      </c>
      <c r="I73" s="5">
        <v>1</v>
      </c>
      <c r="J73" s="5" t="s">
        <v>36</v>
      </c>
      <c r="K73" s="5">
        <v>4</v>
      </c>
      <c r="L73" s="5" t="s">
        <v>37</v>
      </c>
      <c r="M73" s="5" t="str">
        <f t="shared" si="2"/>
        <v>EsA013-0d4s</v>
      </c>
      <c r="N73" s="5">
        <v>3</v>
      </c>
      <c r="O73" s="2" t="str">
        <f t="shared" si="3"/>
        <v>O dia inteiro, a cada 1 dia, por um período de 4 semanas</v>
      </c>
      <c r="P73" t="s">
        <v>147</v>
      </c>
      <c r="Q73" t="s">
        <v>151</v>
      </c>
      <c r="R73" t="s">
        <v>152</v>
      </c>
      <c r="S73">
        <v>0</v>
      </c>
    </row>
    <row r="74" spans="1:19" x14ac:dyDescent="0.25">
      <c r="A74" s="2" t="s">
        <v>31</v>
      </c>
      <c r="B74" s="2" t="s">
        <v>113</v>
      </c>
      <c r="C74" s="2" t="s">
        <v>192</v>
      </c>
      <c r="D74" s="5">
        <v>3</v>
      </c>
      <c r="E74" s="5">
        <v>3</v>
      </c>
      <c r="F74" s="5">
        <v>14</v>
      </c>
      <c r="G74" s="5">
        <v>1</v>
      </c>
      <c r="H74" s="5" t="s">
        <v>36</v>
      </c>
      <c r="I74" s="5">
        <v>1</v>
      </c>
      <c r="J74" s="5" t="s">
        <v>36</v>
      </c>
      <c r="K74" s="5">
        <v>2</v>
      </c>
      <c r="L74" s="5" t="s">
        <v>37</v>
      </c>
      <c r="M74" s="5" t="str">
        <f t="shared" si="2"/>
        <v>EsA014-1d2s</v>
      </c>
      <c r="N74" s="5">
        <v>3</v>
      </c>
      <c r="O74" s="2" t="str">
        <f t="shared" si="3"/>
        <v>Uma vez por dia, a cada 1 dia, por um período de 2 semanas</v>
      </c>
      <c r="P74" t="s">
        <v>147</v>
      </c>
      <c r="Q74" t="s">
        <v>160</v>
      </c>
      <c r="R74" t="s">
        <v>161</v>
      </c>
      <c r="S74">
        <v>0.125</v>
      </c>
    </row>
    <row r="75" spans="1:19" x14ac:dyDescent="0.25">
      <c r="A75" s="2" t="s">
        <v>31</v>
      </c>
      <c r="B75" s="2" t="s">
        <v>113</v>
      </c>
      <c r="C75" s="2" t="s">
        <v>193</v>
      </c>
      <c r="D75" s="5">
        <v>3</v>
      </c>
      <c r="E75" s="5">
        <v>3</v>
      </c>
      <c r="F75" s="5">
        <v>15</v>
      </c>
      <c r="G75" s="5">
        <v>1</v>
      </c>
      <c r="H75" s="5" t="s">
        <v>36</v>
      </c>
      <c r="I75" s="5">
        <v>1</v>
      </c>
      <c r="J75" s="5" t="s">
        <v>36</v>
      </c>
      <c r="K75" s="5">
        <v>6</v>
      </c>
      <c r="L75" s="5" t="s">
        <v>37</v>
      </c>
      <c r="M75" s="5" t="str">
        <f t="shared" si="2"/>
        <v>EsA015-1d6s</v>
      </c>
      <c r="N75" s="5">
        <v>3</v>
      </c>
      <c r="O75" s="2" t="str">
        <f t="shared" si="3"/>
        <v>Uma vez por dia, a cada 1 dia, por um período de 6 semanas</v>
      </c>
      <c r="P75" t="s">
        <v>147</v>
      </c>
      <c r="Q75" t="s">
        <v>151</v>
      </c>
      <c r="R75" t="s">
        <v>152</v>
      </c>
      <c r="S75">
        <v>0</v>
      </c>
    </row>
    <row r="76" spans="1:19" x14ac:dyDescent="0.25">
      <c r="A76" s="2" t="s">
        <v>32</v>
      </c>
      <c r="B76" s="2" t="s">
        <v>57</v>
      </c>
      <c r="C76" s="2" t="s">
        <v>194</v>
      </c>
      <c r="D76" s="5">
        <v>6</v>
      </c>
      <c r="E76" s="5">
        <v>1</v>
      </c>
      <c r="F76" s="5">
        <v>6</v>
      </c>
      <c r="G76" s="5">
        <v>1</v>
      </c>
      <c r="H76" s="5" t="s">
        <v>36</v>
      </c>
      <c r="I76" s="5">
        <v>3</v>
      </c>
      <c r="J76" s="5" t="s">
        <v>36</v>
      </c>
      <c r="K76" s="5">
        <v>3</v>
      </c>
      <c r="L76" s="5" t="s">
        <v>37</v>
      </c>
      <c r="M76" s="5" t="str">
        <f t="shared" si="2"/>
        <v>EuB006-1d3s</v>
      </c>
      <c r="N76" s="5">
        <v>1</v>
      </c>
      <c r="O76" s="2" t="str">
        <f>IF(
  AND(G76="",H76="",I76="",J76="",K76="",L76=""),
  "Fique atento para a primeira oportunidade que surgir",
  IF(AND(G76=0,LOWER(H76)="d",K76=0,LOWER(L76)="d"),
     "Fique atento para a primeira oportunidade que surgir",
     IF(AND(G76=1,LOWER(H76)="d",K76=1,LOWER(L76)="d"),
        "Pelo menos uma vez",
        IF(G76=0,"O dia inteiro",IF(G76=1,"Uma vez",TEXT(G76,"0")&amp;" vezes")&amp;" por "&amp;IF(LOWER(H76)="d","dia","semana"))
        &amp;IF(AND(ISNUMBER(I76),I76&gt;0),", a cada "&amp;TEXT(I76,"0")&amp;" "&amp;IF(I76=1,IF(LOWER(J76)="d","dia","semana"),IF(LOWER(J76)="d","dias","semanas"))&amp;",","")
        &amp;" por um período de "&amp;TEXT(K76,"0")&amp;" "&amp;IF(K76=1,IF(LOWER(L76)="d","dia","semana"),IF(LOWER(L76)="d","dias","semanas"))
     )
  )
)</f>
        <v>Uma vez por dia, a cada 3 dias, por um período de 3 semanas</v>
      </c>
      <c r="P76" t="s">
        <v>195</v>
      </c>
      <c r="Q76" t="s">
        <v>196</v>
      </c>
      <c r="R76" t="s">
        <v>197</v>
      </c>
      <c r="S76">
        <v>0.1</v>
      </c>
    </row>
    <row r="77" spans="1:19" x14ac:dyDescent="0.25">
      <c r="A77" s="2" t="s">
        <v>32</v>
      </c>
      <c r="B77" s="2" t="s">
        <v>86</v>
      </c>
      <c r="C77" s="2" t="s">
        <v>198</v>
      </c>
      <c r="D77" s="5">
        <v>6</v>
      </c>
      <c r="E77" s="5">
        <v>2</v>
      </c>
      <c r="F77" s="5">
        <v>7</v>
      </c>
      <c r="G77" s="5">
        <v>1</v>
      </c>
      <c r="H77" s="5" t="s">
        <v>36</v>
      </c>
      <c r="I77" s="5"/>
      <c r="J77" s="5"/>
      <c r="K77" s="5">
        <v>4</v>
      </c>
      <c r="L77" s="5" t="s">
        <v>37</v>
      </c>
      <c r="M77" s="5" t="str">
        <f t="shared" si="2"/>
        <v>EuD007-1d4s</v>
      </c>
      <c r="N77" s="5">
        <v>2</v>
      </c>
      <c r="O77" s="2" t="str">
        <f>IF(
  AND(G77="",H77="",I77="",J77="",K77="",L77=""),
  "Fique atento para a primeira oportunidade que surgir",
  IF(AND(G77=0,LOWER(H77)="d",K77=0,LOWER(L77)="d"),
     "Fique atento para a primeira oportunidade que surgir",
     IF(AND(G77=1,LOWER(H77)="d",K77=1,LOWER(L77)="d"),
        "Pelo menos uma vez",
        IF(G77=0,"O dia inteiro",IF(G77=1,"Uma vez",TEXT(G77,"0")&amp;" vezes")&amp;" por "&amp;IF(LOWER(H77)="d","dia","semana"))
        &amp;IF(AND(ISNUMBER(I77),I77&gt;0),", a cada "&amp;TEXT(I77,"0")&amp;" "&amp;IF(I77=1,IF(LOWER(J77)="d","dia","semana"),IF(LOWER(J77)="d","dias","semanas"))&amp;",","")
        &amp;" por um período de "&amp;TEXT(K77,"0")&amp;" "&amp;IF(K77=1,IF(LOWER(L77)="d","dia","semana"),IF(LOWER(L77)="d","dias","semanas"))
     )
  )
)</f>
        <v>Uma vez por dia por um período de 4 semanas</v>
      </c>
      <c r="P77" t="s">
        <v>195</v>
      </c>
      <c r="Q77" t="s">
        <v>199</v>
      </c>
      <c r="R77" t="s">
        <v>200</v>
      </c>
      <c r="S77">
        <v>0.125</v>
      </c>
    </row>
    <row r="78" spans="1:19" x14ac:dyDescent="0.25">
      <c r="A78" s="2" t="s">
        <v>32</v>
      </c>
      <c r="B78" s="2" t="s">
        <v>57</v>
      </c>
      <c r="C78" s="2" t="s">
        <v>201</v>
      </c>
      <c r="D78" s="5">
        <v>6</v>
      </c>
      <c r="E78" s="5">
        <v>1</v>
      </c>
      <c r="F78" s="5">
        <v>1</v>
      </c>
      <c r="G78" s="5">
        <v>1</v>
      </c>
      <c r="H78" s="5" t="s">
        <v>36</v>
      </c>
      <c r="I78" s="5"/>
      <c r="J78" s="5"/>
      <c r="K78" s="5">
        <v>3</v>
      </c>
      <c r="L78" s="5" t="s">
        <v>37</v>
      </c>
      <c r="M78" s="5" t="str">
        <f t="shared" si="2"/>
        <v>EuB001-1d3s</v>
      </c>
      <c r="N78" s="5">
        <v>1</v>
      </c>
      <c r="O78" s="2" t="str">
        <f t="shared" ref="O78:O112" si="4">IF(
AND(G78="",H78="",I78="",J78="",K78="",L78=""),
"Fique atento para a primeira oportunidade que surgir",
IF(AND(G78=0,LOWER(H78)="d",K78=0,LOWER(L78)="d"),
"Fique atento para a primeira oportunidade que surgir",
IF(AND(G78=1,LOWER(H78)="d",K78=1,LOWER(L78)="d"),
"Pelo menos uma vez",
IF(G78=0,"O dia inteiro",IF(G78=1,"Uma vez",TEXT(G78,"0")&amp;" vezes")&amp;" por "&amp;IF(LOWER(H78)="d","dia","semana"))
&amp;IF(AND(ISNUMBER(I78),I78&gt;0),", a cada "&amp;TEXT(I78,"0")&amp;" "&amp;IF(I78=1,IF(LOWER(J78)="d","dia","semana"),IF(LOWER(J78)="d","dias","semanas"))&amp;",","")
&amp;" por um período de "&amp;TEXT(K78,"0")&amp;" "&amp;IF(K78=1,IF(LOWER(L78)="d","dia","semana"),IF(LOWER(L78)="d","dias","semanas"))
)
)
)</f>
        <v>Uma vez por dia por um período de 3 semanas</v>
      </c>
      <c r="P78" t="s">
        <v>195</v>
      </c>
      <c r="Q78" t="s">
        <v>202</v>
      </c>
      <c r="R78" t="s">
        <v>203</v>
      </c>
      <c r="S78">
        <v>0.14299999999999999</v>
      </c>
    </row>
    <row r="79" spans="1:19" x14ac:dyDescent="0.25">
      <c r="A79" s="2" t="s">
        <v>32</v>
      </c>
      <c r="B79" s="2" t="s">
        <v>113</v>
      </c>
      <c r="C79" s="2" t="s">
        <v>204</v>
      </c>
      <c r="D79" s="5">
        <v>6</v>
      </c>
      <c r="E79" s="5">
        <v>3</v>
      </c>
      <c r="F79" s="5">
        <v>1</v>
      </c>
      <c r="G79" s="5">
        <v>5</v>
      </c>
      <c r="H79" s="5" t="s">
        <v>37</v>
      </c>
      <c r="I79" s="5"/>
      <c r="J79" s="5"/>
      <c r="K79" s="5">
        <v>4</v>
      </c>
      <c r="L79" s="5" t="s">
        <v>37</v>
      </c>
      <c r="M79" s="5" t="str">
        <f t="shared" si="2"/>
        <v>EuA001-5s4s</v>
      </c>
      <c r="N79" s="5">
        <v>3</v>
      </c>
      <c r="O79" s="2" t="str">
        <f t="shared" si="4"/>
        <v>5 vezes por semana por um período de 4 semanas</v>
      </c>
      <c r="P79" t="s">
        <v>195</v>
      </c>
      <c r="Q79" t="s">
        <v>205</v>
      </c>
      <c r="R79" t="s">
        <v>206</v>
      </c>
      <c r="S79">
        <v>0</v>
      </c>
    </row>
    <row r="80" spans="1:19" x14ac:dyDescent="0.25">
      <c r="A80" s="2" t="s">
        <v>32</v>
      </c>
      <c r="B80" s="2" t="s">
        <v>113</v>
      </c>
      <c r="C80" s="2" t="s">
        <v>207</v>
      </c>
      <c r="D80" s="5">
        <v>6</v>
      </c>
      <c r="E80" s="5">
        <v>3</v>
      </c>
      <c r="F80" s="5">
        <v>6</v>
      </c>
      <c r="G80" s="5">
        <v>1</v>
      </c>
      <c r="H80" s="5" t="s">
        <v>36</v>
      </c>
      <c r="I80" s="5"/>
      <c r="J80" s="5"/>
      <c r="K80" s="5">
        <v>4</v>
      </c>
      <c r="L80" s="5" t="s">
        <v>37</v>
      </c>
      <c r="M80" s="5" t="str">
        <f t="shared" si="2"/>
        <v>EuA006-1d4s</v>
      </c>
      <c r="N80" s="5">
        <v>3</v>
      </c>
      <c r="O80" s="2" t="str">
        <f t="shared" si="4"/>
        <v>Uma vez por dia por um período de 4 semanas</v>
      </c>
      <c r="P80" t="s">
        <v>195</v>
      </c>
      <c r="Q80" t="s">
        <v>208</v>
      </c>
      <c r="R80" t="s">
        <v>209</v>
      </c>
      <c r="S80">
        <v>0.1</v>
      </c>
    </row>
    <row r="81" spans="1:19" x14ac:dyDescent="0.25">
      <c r="A81" s="2" t="s">
        <v>32</v>
      </c>
      <c r="B81" s="2" t="s">
        <v>57</v>
      </c>
      <c r="C81" s="2" t="s">
        <v>210</v>
      </c>
      <c r="D81" s="5">
        <v>6</v>
      </c>
      <c r="E81" s="5">
        <v>1</v>
      </c>
      <c r="F81" s="5">
        <v>9</v>
      </c>
      <c r="G81" s="5">
        <v>1</v>
      </c>
      <c r="H81" s="5" t="s">
        <v>36</v>
      </c>
      <c r="I81" s="5">
        <v>3</v>
      </c>
      <c r="J81" s="5" t="s">
        <v>36</v>
      </c>
      <c r="K81" s="5">
        <v>3</v>
      </c>
      <c r="L81" s="5" t="s">
        <v>37</v>
      </c>
      <c r="M81" s="5" t="str">
        <f t="shared" si="2"/>
        <v>EuB009-1d3s</v>
      </c>
      <c r="N81" s="5">
        <v>1</v>
      </c>
      <c r="O81" s="2" t="str">
        <f t="shared" si="4"/>
        <v>Uma vez por dia, a cada 3 dias, por um período de 3 semanas</v>
      </c>
      <c r="P81" t="s">
        <v>195</v>
      </c>
      <c r="Q81" t="s">
        <v>205</v>
      </c>
      <c r="R81" t="s">
        <v>206</v>
      </c>
      <c r="S81">
        <v>0</v>
      </c>
    </row>
    <row r="82" spans="1:19" x14ac:dyDescent="0.25">
      <c r="A82" s="2" t="s">
        <v>32</v>
      </c>
      <c r="B82" s="2" t="s">
        <v>113</v>
      </c>
      <c r="C82" s="2" t="s">
        <v>211</v>
      </c>
      <c r="D82" s="5">
        <v>6</v>
      </c>
      <c r="E82" s="5">
        <v>3</v>
      </c>
      <c r="F82" s="5">
        <v>15</v>
      </c>
      <c r="G82" s="5">
        <v>1</v>
      </c>
      <c r="H82" s="5" t="s">
        <v>36</v>
      </c>
      <c r="I82" s="5"/>
      <c r="J82" s="5"/>
      <c r="K82" s="5">
        <v>1</v>
      </c>
      <c r="L82" s="5" t="s">
        <v>36</v>
      </c>
      <c r="M82" s="5" t="str">
        <f t="shared" si="2"/>
        <v>EuA015-1d1d</v>
      </c>
      <c r="N82" s="5">
        <v>3</v>
      </c>
      <c r="O82" s="2" t="str">
        <f t="shared" si="4"/>
        <v>Pelo menos uma vez</v>
      </c>
      <c r="P82" t="s">
        <v>195</v>
      </c>
      <c r="Q82" t="s">
        <v>202</v>
      </c>
      <c r="R82" t="s">
        <v>203</v>
      </c>
      <c r="S82">
        <v>0.1</v>
      </c>
    </row>
    <row r="83" spans="1:19" x14ac:dyDescent="0.25">
      <c r="A83" s="2" t="s">
        <v>32</v>
      </c>
      <c r="B83" s="2" t="s">
        <v>86</v>
      </c>
      <c r="C83" s="2" t="s">
        <v>212</v>
      </c>
      <c r="D83" s="5">
        <v>6</v>
      </c>
      <c r="E83" s="5">
        <v>2</v>
      </c>
      <c r="F83" s="5">
        <v>8</v>
      </c>
      <c r="G83" s="5">
        <v>0</v>
      </c>
      <c r="H83" s="5" t="s">
        <v>36</v>
      </c>
      <c r="I83" s="5">
        <v>1</v>
      </c>
      <c r="J83" s="5" t="s">
        <v>37</v>
      </c>
      <c r="K83" s="5">
        <v>4</v>
      </c>
      <c r="L83" s="5" t="s">
        <v>37</v>
      </c>
      <c r="M83" s="5" t="str">
        <f t="shared" si="2"/>
        <v>EuD008-0d4s</v>
      </c>
      <c r="N83" s="5">
        <v>2</v>
      </c>
      <c r="O83" s="2" t="str">
        <f t="shared" si="4"/>
        <v>O dia inteiro, a cada 1 semana, por um período de 4 semanas</v>
      </c>
      <c r="P83" t="s">
        <v>195</v>
      </c>
      <c r="Q83" t="s">
        <v>205</v>
      </c>
      <c r="R83" t="s">
        <v>206</v>
      </c>
      <c r="S83">
        <v>0</v>
      </c>
    </row>
    <row r="84" spans="1:19" x14ac:dyDescent="0.25">
      <c r="A84" s="2" t="s">
        <v>32</v>
      </c>
      <c r="B84" s="2" t="s">
        <v>57</v>
      </c>
      <c r="C84" s="2" t="s">
        <v>213</v>
      </c>
      <c r="D84" s="5">
        <v>6</v>
      </c>
      <c r="E84" s="5">
        <v>1</v>
      </c>
      <c r="F84" s="5">
        <v>5</v>
      </c>
      <c r="G84" s="5">
        <v>0</v>
      </c>
      <c r="H84" s="5" t="s">
        <v>36</v>
      </c>
      <c r="I84" s="5"/>
      <c r="J84" s="5"/>
      <c r="K84" s="5">
        <v>0</v>
      </c>
      <c r="L84" s="5" t="s">
        <v>36</v>
      </c>
      <c r="M84" s="5" t="str">
        <f t="shared" si="2"/>
        <v>EuB005-0d0d</v>
      </c>
      <c r="N84" s="5">
        <v>2</v>
      </c>
      <c r="O84" s="2" t="str">
        <f t="shared" si="4"/>
        <v>Fique atento para a primeira oportunidade que surgir</v>
      </c>
      <c r="P84" t="s">
        <v>195</v>
      </c>
      <c r="Q84" t="s">
        <v>205</v>
      </c>
      <c r="R84" t="s">
        <v>206</v>
      </c>
      <c r="S84">
        <v>0</v>
      </c>
    </row>
    <row r="85" spans="1:19" x14ac:dyDescent="0.25">
      <c r="A85" s="2" t="s">
        <v>32</v>
      </c>
      <c r="B85" s="2" t="s">
        <v>113</v>
      </c>
      <c r="C85" s="2" t="s">
        <v>214</v>
      </c>
      <c r="D85" s="5">
        <v>6</v>
      </c>
      <c r="E85" s="5">
        <v>3</v>
      </c>
      <c r="F85" s="5">
        <v>10</v>
      </c>
      <c r="G85" s="5">
        <v>0</v>
      </c>
      <c r="H85" s="5" t="s">
        <v>36</v>
      </c>
      <c r="I85" s="5">
        <v>8</v>
      </c>
      <c r="J85" s="5" t="s">
        <v>37</v>
      </c>
      <c r="K85" s="5">
        <v>8</v>
      </c>
      <c r="L85" s="5" t="s">
        <v>37</v>
      </c>
      <c r="M85" s="5" t="str">
        <f t="shared" si="2"/>
        <v>EuA010-0d8s</v>
      </c>
      <c r="N85" s="5">
        <v>3</v>
      </c>
      <c r="O85" s="2" t="str">
        <f t="shared" si="4"/>
        <v>O dia inteiro, a cada 8 semanas, por um período de 8 semanas</v>
      </c>
      <c r="P85" t="s">
        <v>195</v>
      </c>
      <c r="Q85" t="s">
        <v>208</v>
      </c>
      <c r="R85" t="s">
        <v>209</v>
      </c>
      <c r="S85">
        <v>0.1</v>
      </c>
    </row>
    <row r="86" spans="1:19" x14ac:dyDescent="0.25">
      <c r="A86" s="2" t="s">
        <v>32</v>
      </c>
      <c r="B86" s="2" t="s">
        <v>86</v>
      </c>
      <c r="C86" s="2" t="s">
        <v>215</v>
      </c>
      <c r="D86" s="5">
        <v>6</v>
      </c>
      <c r="E86" s="5">
        <v>2</v>
      </c>
      <c r="F86" s="5">
        <v>5</v>
      </c>
      <c r="G86" s="5">
        <v>1</v>
      </c>
      <c r="H86" s="5" t="s">
        <v>37</v>
      </c>
      <c r="I86" s="5"/>
      <c r="J86" s="5"/>
      <c r="K86" s="5">
        <v>4</v>
      </c>
      <c r="L86" s="5" t="s">
        <v>37</v>
      </c>
      <c r="M86" s="5" t="str">
        <f t="shared" si="2"/>
        <v>EuD005-1s4s</v>
      </c>
      <c r="N86" s="5">
        <v>2</v>
      </c>
      <c r="O86" s="2" t="str">
        <f t="shared" si="4"/>
        <v>Uma vez por semana por um período de 4 semanas</v>
      </c>
      <c r="P86" t="s">
        <v>195</v>
      </c>
      <c r="Q86" t="s">
        <v>216</v>
      </c>
      <c r="R86" t="s">
        <v>217</v>
      </c>
      <c r="S86">
        <v>0.111</v>
      </c>
    </row>
    <row r="87" spans="1:19" x14ac:dyDescent="0.25">
      <c r="A87" s="2" t="s">
        <v>32</v>
      </c>
      <c r="B87" s="2" t="s">
        <v>113</v>
      </c>
      <c r="C87" s="2" t="s">
        <v>218</v>
      </c>
      <c r="D87" s="5">
        <v>6</v>
      </c>
      <c r="E87" s="5">
        <v>3</v>
      </c>
      <c r="F87" s="5">
        <v>9</v>
      </c>
      <c r="G87" s="5">
        <v>1</v>
      </c>
      <c r="H87" s="5" t="s">
        <v>36</v>
      </c>
      <c r="I87" s="5">
        <v>3</v>
      </c>
      <c r="J87" s="5" t="s">
        <v>37</v>
      </c>
      <c r="K87" s="5">
        <v>3</v>
      </c>
      <c r="L87" s="5" t="s">
        <v>37</v>
      </c>
      <c r="M87" s="5" t="str">
        <f t="shared" si="2"/>
        <v>EuA009-1d3s</v>
      </c>
      <c r="N87" s="5">
        <v>3</v>
      </c>
      <c r="O87" s="2" t="str">
        <f t="shared" si="4"/>
        <v>Uma vez por dia, a cada 3 semanas, por um período de 3 semanas</v>
      </c>
      <c r="P87" t="s">
        <v>195</v>
      </c>
      <c r="Q87" t="s">
        <v>205</v>
      </c>
      <c r="R87" t="s">
        <v>206</v>
      </c>
      <c r="S87">
        <v>0</v>
      </c>
    </row>
    <row r="88" spans="1:19" x14ac:dyDescent="0.25">
      <c r="A88" s="2" t="s">
        <v>32</v>
      </c>
      <c r="B88" s="2" t="s">
        <v>57</v>
      </c>
      <c r="C88" s="2" t="s">
        <v>219</v>
      </c>
      <c r="D88" s="5">
        <v>6</v>
      </c>
      <c r="E88" s="5">
        <v>1</v>
      </c>
      <c r="F88" s="5">
        <v>5</v>
      </c>
      <c r="G88" s="5">
        <v>1</v>
      </c>
      <c r="H88" s="5" t="s">
        <v>36</v>
      </c>
      <c r="I88" s="5"/>
      <c r="J88" s="5"/>
      <c r="K88" s="5">
        <v>3</v>
      </c>
      <c r="L88" s="5" t="s">
        <v>37</v>
      </c>
      <c r="M88" s="5" t="str">
        <f t="shared" si="2"/>
        <v>EuB005-1d3s</v>
      </c>
      <c r="N88" s="5">
        <v>1</v>
      </c>
      <c r="O88" s="2" t="str">
        <f t="shared" si="4"/>
        <v>Uma vez por dia por um período de 3 semanas</v>
      </c>
      <c r="P88" t="s">
        <v>195</v>
      </c>
      <c r="Q88" t="s">
        <v>205</v>
      </c>
      <c r="R88" t="s">
        <v>206</v>
      </c>
      <c r="S88">
        <v>0</v>
      </c>
    </row>
    <row r="89" spans="1:19" x14ac:dyDescent="0.25">
      <c r="A89" s="2" t="s">
        <v>32</v>
      </c>
      <c r="B89" s="2" t="s">
        <v>113</v>
      </c>
      <c r="C89" s="2" t="s">
        <v>220</v>
      </c>
      <c r="D89" s="5">
        <v>6</v>
      </c>
      <c r="E89" s="5">
        <v>3</v>
      </c>
      <c r="F89" s="5">
        <v>12</v>
      </c>
      <c r="G89" s="5">
        <v>1</v>
      </c>
      <c r="H89" s="5" t="s">
        <v>36</v>
      </c>
      <c r="I89" s="5"/>
      <c r="J89" s="5"/>
      <c r="K89" s="5">
        <v>1</v>
      </c>
      <c r="L89" s="5" t="s">
        <v>36</v>
      </c>
      <c r="M89" s="5" t="str">
        <f t="shared" si="2"/>
        <v>EuA012-1d1d</v>
      </c>
      <c r="N89" s="5">
        <v>3</v>
      </c>
      <c r="O89" s="2" t="str">
        <f t="shared" si="4"/>
        <v>Pelo menos uma vez</v>
      </c>
      <c r="P89" t="s">
        <v>195</v>
      </c>
      <c r="Q89" t="s">
        <v>216</v>
      </c>
      <c r="R89" t="s">
        <v>217</v>
      </c>
      <c r="S89">
        <v>0.111</v>
      </c>
    </row>
    <row r="90" spans="1:19" x14ac:dyDescent="0.25">
      <c r="A90" s="2" t="s">
        <v>32</v>
      </c>
      <c r="B90" s="2" t="s">
        <v>57</v>
      </c>
      <c r="C90" s="2" t="s">
        <v>221</v>
      </c>
      <c r="D90" s="5">
        <v>6</v>
      </c>
      <c r="E90" s="5">
        <v>1</v>
      </c>
      <c r="F90" s="5">
        <v>7</v>
      </c>
      <c r="G90" s="5">
        <v>3</v>
      </c>
      <c r="H90" s="5" t="s">
        <v>36</v>
      </c>
      <c r="I90" s="5"/>
      <c r="J90" s="5"/>
      <c r="K90" s="5">
        <v>3</v>
      </c>
      <c r="L90" s="5" t="s">
        <v>37</v>
      </c>
      <c r="M90" s="5" t="str">
        <f t="shared" si="2"/>
        <v>EuB007-3d3s</v>
      </c>
      <c r="N90" s="5">
        <v>1</v>
      </c>
      <c r="O90" s="2" t="str">
        <f t="shared" si="4"/>
        <v>3 vezes por dia por um período de 3 semanas</v>
      </c>
      <c r="P90" t="s">
        <v>195</v>
      </c>
      <c r="Q90" t="s">
        <v>222</v>
      </c>
      <c r="R90" t="s">
        <v>223</v>
      </c>
      <c r="S90">
        <v>0.14299999999999999</v>
      </c>
    </row>
    <row r="91" spans="1:19" x14ac:dyDescent="0.25">
      <c r="A91" s="2" t="s">
        <v>32</v>
      </c>
      <c r="B91" s="2" t="s">
        <v>113</v>
      </c>
      <c r="C91" s="2" t="s">
        <v>224</v>
      </c>
      <c r="D91" s="5">
        <v>6</v>
      </c>
      <c r="E91" s="5">
        <v>3</v>
      </c>
      <c r="F91" s="5">
        <v>14</v>
      </c>
      <c r="G91" s="5">
        <v>1</v>
      </c>
      <c r="H91" s="5" t="s">
        <v>36</v>
      </c>
      <c r="I91" s="5"/>
      <c r="J91" s="5"/>
      <c r="K91" s="5">
        <v>14</v>
      </c>
      <c r="L91" s="5" t="s">
        <v>36</v>
      </c>
      <c r="M91" s="5" t="str">
        <f t="shared" si="2"/>
        <v>EuA014-1d14d</v>
      </c>
      <c r="N91" s="5">
        <v>3</v>
      </c>
      <c r="O91" s="2" t="str">
        <f t="shared" si="4"/>
        <v>Uma vez por dia por um período de 14 dias</v>
      </c>
      <c r="P91" t="s">
        <v>195</v>
      </c>
      <c r="Q91" t="s">
        <v>205</v>
      </c>
      <c r="R91" t="s">
        <v>206</v>
      </c>
      <c r="S91">
        <v>0</v>
      </c>
    </row>
    <row r="92" spans="1:19" x14ac:dyDescent="0.25">
      <c r="A92" s="2" t="s">
        <v>32</v>
      </c>
      <c r="B92" s="2" t="s">
        <v>225</v>
      </c>
      <c r="C92" s="2" t="s">
        <v>226</v>
      </c>
      <c r="D92" s="5">
        <v>6</v>
      </c>
      <c r="E92" s="5">
        <v>1</v>
      </c>
      <c r="F92" s="5">
        <v>3</v>
      </c>
      <c r="G92" s="5">
        <v>1</v>
      </c>
      <c r="H92" s="5" t="s">
        <v>36</v>
      </c>
      <c r="I92" s="5"/>
      <c r="J92" s="5"/>
      <c r="K92" s="5">
        <v>3</v>
      </c>
      <c r="L92" s="5" t="s">
        <v>37</v>
      </c>
      <c r="M92" s="5" t="str">
        <f t="shared" si="2"/>
        <v>EuB003-1d3s</v>
      </c>
      <c r="N92" s="5">
        <v>1</v>
      </c>
      <c r="O92" s="2" t="str">
        <f t="shared" si="4"/>
        <v>Uma vez por dia por um período de 3 semanas</v>
      </c>
      <c r="P92" t="s">
        <v>195</v>
      </c>
      <c r="Q92" t="s">
        <v>205</v>
      </c>
      <c r="R92" t="s">
        <v>206</v>
      </c>
      <c r="S92">
        <v>0</v>
      </c>
    </row>
    <row r="93" spans="1:19" x14ac:dyDescent="0.25">
      <c r="A93" s="2" t="s">
        <v>32</v>
      </c>
      <c r="B93" s="2" t="s">
        <v>86</v>
      </c>
      <c r="C93" s="2" t="s">
        <v>227</v>
      </c>
      <c r="D93" s="5">
        <v>6</v>
      </c>
      <c r="E93" s="5">
        <v>2</v>
      </c>
      <c r="F93" s="5">
        <v>1</v>
      </c>
      <c r="G93" s="5">
        <v>1</v>
      </c>
      <c r="H93" s="5" t="s">
        <v>36</v>
      </c>
      <c r="I93" s="5"/>
      <c r="J93" s="5"/>
      <c r="K93" s="5">
        <v>3</v>
      </c>
      <c r="L93" s="5" t="s">
        <v>37</v>
      </c>
      <c r="M93" s="5" t="str">
        <f t="shared" si="2"/>
        <v>EuD001-1d3s</v>
      </c>
      <c r="N93" s="5">
        <v>2</v>
      </c>
      <c r="O93" s="2" t="str">
        <f t="shared" si="4"/>
        <v>Uma vez por dia por um período de 3 semanas</v>
      </c>
      <c r="P93" t="s">
        <v>195</v>
      </c>
      <c r="Q93" t="s">
        <v>202</v>
      </c>
      <c r="R93" t="s">
        <v>203</v>
      </c>
      <c r="S93">
        <v>0.125</v>
      </c>
    </row>
    <row r="94" spans="1:19" x14ac:dyDescent="0.25">
      <c r="A94" s="2" t="s">
        <v>32</v>
      </c>
      <c r="B94" s="2" t="s">
        <v>113</v>
      </c>
      <c r="C94" s="2" t="s">
        <v>228</v>
      </c>
      <c r="D94" s="5">
        <v>6</v>
      </c>
      <c r="E94" s="5">
        <v>3</v>
      </c>
      <c r="F94" s="5">
        <v>11</v>
      </c>
      <c r="G94" s="5">
        <v>1</v>
      </c>
      <c r="H94" s="5" t="s">
        <v>36</v>
      </c>
      <c r="I94" s="5"/>
      <c r="J94" s="5"/>
      <c r="K94" s="5">
        <v>0</v>
      </c>
      <c r="L94" s="5" t="s">
        <v>36</v>
      </c>
      <c r="M94" s="5" t="str">
        <f t="shared" si="2"/>
        <v>EuA011-1d0d</v>
      </c>
      <c r="N94" s="5">
        <v>3</v>
      </c>
      <c r="O94" s="2" t="str">
        <f t="shared" si="4"/>
        <v>Uma vez por dia por um período de 0 dias</v>
      </c>
      <c r="P94" t="s">
        <v>195</v>
      </c>
      <c r="Q94" t="s">
        <v>202</v>
      </c>
      <c r="R94" t="s">
        <v>203</v>
      </c>
      <c r="S94">
        <v>0.111</v>
      </c>
    </row>
    <row r="95" spans="1:19" x14ac:dyDescent="0.25">
      <c r="A95" s="2" t="s">
        <v>32</v>
      </c>
      <c r="B95" s="2" t="s">
        <v>113</v>
      </c>
      <c r="C95" s="2" t="s">
        <v>229</v>
      </c>
      <c r="D95" s="5">
        <v>6</v>
      </c>
      <c r="E95" s="5">
        <v>3</v>
      </c>
      <c r="F95" s="5">
        <v>2</v>
      </c>
      <c r="G95" s="5">
        <v>1</v>
      </c>
      <c r="H95" s="5" t="s">
        <v>36</v>
      </c>
      <c r="I95" s="5"/>
      <c r="J95" s="5"/>
      <c r="K95" s="5">
        <v>2</v>
      </c>
      <c r="L95" s="5" t="s">
        <v>37</v>
      </c>
      <c r="M95" s="5" t="str">
        <f t="shared" si="2"/>
        <v>EuA002-1d2s</v>
      </c>
      <c r="N95" s="5">
        <v>3</v>
      </c>
      <c r="O95" s="2" t="str">
        <f t="shared" si="4"/>
        <v>Uma vez por dia por um período de 2 semanas</v>
      </c>
      <c r="P95" t="s">
        <v>195</v>
      </c>
      <c r="Q95" t="s">
        <v>216</v>
      </c>
      <c r="R95" t="s">
        <v>217</v>
      </c>
      <c r="S95">
        <v>9.0999999999999998E-2</v>
      </c>
    </row>
    <row r="96" spans="1:19" x14ac:dyDescent="0.25">
      <c r="A96" s="2" t="s">
        <v>32</v>
      </c>
      <c r="B96" s="2" t="s">
        <v>113</v>
      </c>
      <c r="C96" s="2" t="s">
        <v>230</v>
      </c>
      <c r="D96" s="5">
        <v>6</v>
      </c>
      <c r="E96" s="5">
        <v>3</v>
      </c>
      <c r="F96" s="5">
        <v>8</v>
      </c>
      <c r="G96" s="5">
        <v>1</v>
      </c>
      <c r="H96" s="5" t="s">
        <v>36</v>
      </c>
      <c r="I96" s="5">
        <v>3</v>
      </c>
      <c r="J96" s="5" t="s">
        <v>37</v>
      </c>
      <c r="K96" s="5">
        <v>3</v>
      </c>
      <c r="L96" s="5" t="s">
        <v>37</v>
      </c>
      <c r="M96" s="5" t="str">
        <f t="shared" si="2"/>
        <v>EuA008-1d3s</v>
      </c>
      <c r="N96" s="5">
        <v>3</v>
      </c>
      <c r="O96" s="2" t="str">
        <f t="shared" si="4"/>
        <v>Uma vez por dia, a cada 3 semanas, por um período de 3 semanas</v>
      </c>
      <c r="P96" t="s">
        <v>195</v>
      </c>
      <c r="Q96" t="s">
        <v>205</v>
      </c>
      <c r="R96" t="s">
        <v>206</v>
      </c>
      <c r="S96">
        <v>0</v>
      </c>
    </row>
    <row r="97" spans="1:19" x14ac:dyDescent="0.25">
      <c r="A97" s="2" t="s">
        <v>32</v>
      </c>
      <c r="B97" s="2" t="s">
        <v>86</v>
      </c>
      <c r="C97" s="2" t="s">
        <v>231</v>
      </c>
      <c r="D97" s="5">
        <v>6</v>
      </c>
      <c r="E97" s="5">
        <v>2</v>
      </c>
      <c r="F97" s="5">
        <v>9</v>
      </c>
      <c r="G97" s="5">
        <v>1</v>
      </c>
      <c r="H97" s="5" t="s">
        <v>36</v>
      </c>
      <c r="I97" s="5">
        <v>3</v>
      </c>
      <c r="J97" s="5" t="s">
        <v>36</v>
      </c>
      <c r="K97" s="5">
        <v>4</v>
      </c>
      <c r="L97" s="5" t="s">
        <v>37</v>
      </c>
      <c r="M97" s="5" t="str">
        <f t="shared" si="2"/>
        <v>EuD009-1d4s</v>
      </c>
      <c r="N97" s="5">
        <v>2</v>
      </c>
      <c r="O97" s="2" t="str">
        <f t="shared" si="4"/>
        <v>Uma vez por dia, a cada 3 dias, por um período de 4 semanas</v>
      </c>
      <c r="P97" t="s">
        <v>195</v>
      </c>
      <c r="Q97" t="s">
        <v>205</v>
      </c>
      <c r="R97" t="s">
        <v>206</v>
      </c>
      <c r="S97">
        <v>0</v>
      </c>
    </row>
    <row r="98" spans="1:19" x14ac:dyDescent="0.25">
      <c r="A98" s="2" t="s">
        <v>32</v>
      </c>
      <c r="B98" s="2" t="s">
        <v>113</v>
      </c>
      <c r="C98" s="2" t="s">
        <v>232</v>
      </c>
      <c r="D98" s="5">
        <v>6</v>
      </c>
      <c r="E98" s="5">
        <v>3</v>
      </c>
      <c r="F98" s="5">
        <v>4</v>
      </c>
      <c r="G98" s="5">
        <v>0</v>
      </c>
      <c r="H98" s="5" t="s">
        <v>36</v>
      </c>
      <c r="I98" s="5"/>
      <c r="J98" s="5"/>
      <c r="K98" s="5">
        <v>6</v>
      </c>
      <c r="L98" s="5" t="s">
        <v>37</v>
      </c>
      <c r="M98" s="5" t="str">
        <f t="shared" si="2"/>
        <v>EuA004-0d6s</v>
      </c>
      <c r="N98" s="5">
        <v>3</v>
      </c>
      <c r="O98" s="2" t="str">
        <f t="shared" si="4"/>
        <v>O dia inteiro por um período de 6 semanas</v>
      </c>
      <c r="P98" t="s">
        <v>195</v>
      </c>
      <c r="Q98" t="s">
        <v>205</v>
      </c>
      <c r="R98" t="s">
        <v>206</v>
      </c>
      <c r="S98">
        <v>0</v>
      </c>
    </row>
    <row r="99" spans="1:19" x14ac:dyDescent="0.25">
      <c r="A99" s="2" t="s">
        <v>32</v>
      </c>
      <c r="B99" s="2" t="s">
        <v>86</v>
      </c>
      <c r="C99" s="2" t="s">
        <v>233</v>
      </c>
      <c r="D99" s="5">
        <v>6</v>
      </c>
      <c r="E99" s="5">
        <v>2</v>
      </c>
      <c r="F99" s="5">
        <v>10</v>
      </c>
      <c r="G99" s="5">
        <v>0</v>
      </c>
      <c r="H99" s="5" t="s">
        <v>36</v>
      </c>
      <c r="I99" s="5"/>
      <c r="J99" s="5"/>
      <c r="K99" s="5">
        <v>1</v>
      </c>
      <c r="L99" s="5" t="s">
        <v>37</v>
      </c>
      <c r="M99" s="5" t="str">
        <f t="shared" si="2"/>
        <v>EuD010-0d1s</v>
      </c>
      <c r="N99" s="5">
        <v>2</v>
      </c>
      <c r="O99" s="2" t="str">
        <f t="shared" si="4"/>
        <v>O dia inteiro por um período de 1 semana</v>
      </c>
      <c r="P99" t="s">
        <v>195</v>
      </c>
      <c r="Q99" t="s">
        <v>205</v>
      </c>
      <c r="R99" t="s">
        <v>206</v>
      </c>
      <c r="S99">
        <v>0</v>
      </c>
    </row>
    <row r="100" spans="1:19" x14ac:dyDescent="0.25">
      <c r="A100" s="2" t="s">
        <v>32</v>
      </c>
      <c r="B100" s="2" t="s">
        <v>86</v>
      </c>
      <c r="C100" s="2" t="s">
        <v>234</v>
      </c>
      <c r="D100" s="5">
        <v>6</v>
      </c>
      <c r="E100" s="5">
        <v>2</v>
      </c>
      <c r="F100" s="5">
        <v>12</v>
      </c>
      <c r="G100" s="5">
        <v>1</v>
      </c>
      <c r="H100" s="5" t="s">
        <v>36</v>
      </c>
      <c r="I100" s="5"/>
      <c r="J100" s="5"/>
      <c r="K100" s="5">
        <v>1</v>
      </c>
      <c r="L100" s="5" t="s">
        <v>37</v>
      </c>
      <c r="M100" s="5" t="str">
        <f t="shared" si="2"/>
        <v>EuD012-1d1s</v>
      </c>
      <c r="N100" s="5">
        <v>2</v>
      </c>
      <c r="O100" s="2" t="str">
        <f t="shared" si="4"/>
        <v>Uma vez por dia por um período de 1 semana</v>
      </c>
      <c r="P100" t="s">
        <v>195</v>
      </c>
      <c r="Q100" t="s">
        <v>205</v>
      </c>
      <c r="R100" t="s">
        <v>206</v>
      </c>
      <c r="S100">
        <v>0</v>
      </c>
    </row>
    <row r="101" spans="1:19" x14ac:dyDescent="0.25">
      <c r="A101" s="2" t="s">
        <v>32</v>
      </c>
      <c r="B101" s="2" t="s">
        <v>57</v>
      </c>
      <c r="C101" s="2" t="s">
        <v>235</v>
      </c>
      <c r="D101" s="5">
        <v>6</v>
      </c>
      <c r="E101" s="5">
        <v>1</v>
      </c>
      <c r="F101" s="5">
        <v>10</v>
      </c>
      <c r="G101" s="5">
        <v>1</v>
      </c>
      <c r="H101" s="5" t="s">
        <v>36</v>
      </c>
      <c r="I101" s="5"/>
      <c r="J101" s="5"/>
      <c r="K101" s="5">
        <v>3</v>
      </c>
      <c r="L101" s="5" t="s">
        <v>37</v>
      </c>
      <c r="M101" s="5" t="str">
        <f t="shared" si="2"/>
        <v>EuB010-1d3s</v>
      </c>
      <c r="N101" s="5">
        <v>1</v>
      </c>
      <c r="O101" s="2" t="str">
        <f t="shared" si="4"/>
        <v>Uma vez por dia por um período de 3 semanas</v>
      </c>
      <c r="P101" t="s">
        <v>195</v>
      </c>
      <c r="Q101" t="s">
        <v>202</v>
      </c>
      <c r="R101" t="s">
        <v>203</v>
      </c>
      <c r="S101">
        <v>0.14299999999999999</v>
      </c>
    </row>
    <row r="102" spans="1:19" x14ac:dyDescent="0.25">
      <c r="A102" s="2" t="s">
        <v>32</v>
      </c>
      <c r="B102" s="2" t="s">
        <v>86</v>
      </c>
      <c r="C102" s="2" t="s">
        <v>236</v>
      </c>
      <c r="D102" s="5">
        <v>6</v>
      </c>
      <c r="E102" s="5">
        <v>2</v>
      </c>
      <c r="F102" s="5">
        <v>3</v>
      </c>
      <c r="G102" s="5">
        <v>1</v>
      </c>
      <c r="H102" s="5" t="s">
        <v>36</v>
      </c>
      <c r="I102" s="5">
        <v>1</v>
      </c>
      <c r="J102" s="5" t="s">
        <v>37</v>
      </c>
      <c r="K102" s="5">
        <v>2</v>
      </c>
      <c r="L102" s="5" t="s">
        <v>37</v>
      </c>
      <c r="M102" s="5" t="str">
        <f t="shared" si="2"/>
        <v>EuD003-1d2s</v>
      </c>
      <c r="N102" s="5">
        <v>2</v>
      </c>
      <c r="O102" s="2" t="str">
        <f t="shared" si="4"/>
        <v>Uma vez por dia, a cada 1 semana, por um período de 2 semanas</v>
      </c>
      <c r="P102" t="s">
        <v>195</v>
      </c>
      <c r="Q102" t="s">
        <v>205</v>
      </c>
      <c r="R102" t="s">
        <v>206</v>
      </c>
      <c r="S102">
        <v>0</v>
      </c>
    </row>
    <row r="103" spans="1:19" x14ac:dyDescent="0.25">
      <c r="A103" s="2" t="s">
        <v>32</v>
      </c>
      <c r="B103" s="2" t="s">
        <v>86</v>
      </c>
      <c r="C103" s="2" t="s">
        <v>237</v>
      </c>
      <c r="D103" s="5">
        <v>6</v>
      </c>
      <c r="E103" s="5">
        <v>2</v>
      </c>
      <c r="F103" s="5">
        <v>2</v>
      </c>
      <c r="G103" s="5">
        <v>1</v>
      </c>
      <c r="H103" s="5" t="s">
        <v>36</v>
      </c>
      <c r="I103" s="5"/>
      <c r="J103" s="5"/>
      <c r="K103" s="5">
        <v>3</v>
      </c>
      <c r="L103" s="5" t="s">
        <v>37</v>
      </c>
      <c r="M103" s="5" t="str">
        <f t="shared" ref="M103:M113" si="5">LEFT(A103,2)&amp;LEFT(B103,1)&amp;TEXT(F103,"000")&amp;"-"&amp;(G103)&amp;H103&amp;(K103)&amp;L103</f>
        <v>EuD002-1d3s</v>
      </c>
      <c r="N103" s="5">
        <v>2</v>
      </c>
      <c r="O103" s="2" t="str">
        <f t="shared" si="4"/>
        <v>Uma vez por dia por um período de 3 semanas</v>
      </c>
      <c r="P103" t="s">
        <v>195</v>
      </c>
      <c r="Q103" t="s">
        <v>205</v>
      </c>
      <c r="R103" t="s">
        <v>206</v>
      </c>
      <c r="S103">
        <v>0</v>
      </c>
    </row>
    <row r="104" spans="1:19" x14ac:dyDescent="0.25">
      <c r="A104" s="2" t="s">
        <v>32</v>
      </c>
      <c r="B104" s="2" t="s">
        <v>113</v>
      </c>
      <c r="C104" s="2" t="s">
        <v>238</v>
      </c>
      <c r="D104" s="5">
        <v>6</v>
      </c>
      <c r="E104" s="5">
        <v>3</v>
      </c>
      <c r="F104" s="5">
        <v>13</v>
      </c>
      <c r="G104" s="5">
        <v>3</v>
      </c>
      <c r="H104" s="5" t="s">
        <v>36</v>
      </c>
      <c r="I104" s="5"/>
      <c r="J104" s="5"/>
      <c r="K104" s="5">
        <v>3</v>
      </c>
      <c r="L104" s="5" t="s">
        <v>37</v>
      </c>
      <c r="M104" s="5" t="str">
        <f t="shared" si="5"/>
        <v>EuA013-3d3s</v>
      </c>
      <c r="N104" s="5">
        <v>3</v>
      </c>
      <c r="O104" s="2" t="str">
        <f t="shared" si="4"/>
        <v>3 vezes por dia por um período de 3 semanas</v>
      </c>
      <c r="P104" t="s">
        <v>195</v>
      </c>
      <c r="Q104" t="s">
        <v>205</v>
      </c>
      <c r="R104" t="s">
        <v>206</v>
      </c>
      <c r="S104">
        <v>0</v>
      </c>
    </row>
    <row r="105" spans="1:19" x14ac:dyDescent="0.25">
      <c r="A105" s="2" t="s">
        <v>32</v>
      </c>
      <c r="B105" s="2" t="s">
        <v>86</v>
      </c>
      <c r="C105" s="2" t="s">
        <v>239</v>
      </c>
      <c r="D105" s="5">
        <v>6</v>
      </c>
      <c r="E105" s="5">
        <v>2</v>
      </c>
      <c r="F105" s="5">
        <v>6</v>
      </c>
      <c r="G105" s="5">
        <v>1</v>
      </c>
      <c r="H105" s="5" t="s">
        <v>37</v>
      </c>
      <c r="I105" s="5">
        <v>2</v>
      </c>
      <c r="J105" s="5" t="s">
        <v>37</v>
      </c>
      <c r="K105" s="5">
        <v>4</v>
      </c>
      <c r="L105" s="5" t="s">
        <v>37</v>
      </c>
      <c r="M105" s="5" t="str">
        <f t="shared" si="5"/>
        <v>EuD006-1s4s</v>
      </c>
      <c r="N105" s="5">
        <v>2</v>
      </c>
      <c r="O105" s="2" t="str">
        <f t="shared" si="4"/>
        <v>Uma vez por semana, a cada 2 semanas, por um período de 4 semanas</v>
      </c>
      <c r="P105" t="s">
        <v>195</v>
      </c>
      <c r="Q105" t="s">
        <v>205</v>
      </c>
      <c r="R105" t="s">
        <v>206</v>
      </c>
      <c r="S105">
        <v>0</v>
      </c>
    </row>
    <row r="106" spans="1:19" x14ac:dyDescent="0.25">
      <c r="A106" s="2" t="s">
        <v>32</v>
      </c>
      <c r="B106" s="2" t="s">
        <v>113</v>
      </c>
      <c r="C106" s="2" t="s">
        <v>240</v>
      </c>
      <c r="D106" s="5">
        <v>6</v>
      </c>
      <c r="E106" s="5">
        <v>3</v>
      </c>
      <c r="F106" s="5">
        <v>5</v>
      </c>
      <c r="G106" s="5">
        <v>1</v>
      </c>
      <c r="H106" s="5" t="s">
        <v>36</v>
      </c>
      <c r="I106" s="5"/>
      <c r="J106" s="5"/>
      <c r="K106" s="5">
        <v>21</v>
      </c>
      <c r="L106" s="5" t="s">
        <v>36</v>
      </c>
      <c r="M106" s="5" t="str">
        <f t="shared" si="5"/>
        <v>EuA005-1d21d</v>
      </c>
      <c r="N106" s="5">
        <v>3</v>
      </c>
      <c r="O106" s="2" t="str">
        <f t="shared" si="4"/>
        <v>Uma vez por dia por um período de 21 dias</v>
      </c>
      <c r="P106" t="s">
        <v>195</v>
      </c>
      <c r="Q106" t="s">
        <v>205</v>
      </c>
      <c r="R106" t="s">
        <v>206</v>
      </c>
      <c r="S106">
        <v>0</v>
      </c>
    </row>
    <row r="107" spans="1:19" x14ac:dyDescent="0.25">
      <c r="A107" s="2" t="s">
        <v>32</v>
      </c>
      <c r="B107" s="2" t="s">
        <v>86</v>
      </c>
      <c r="C107" s="2" t="s">
        <v>241</v>
      </c>
      <c r="D107" s="5">
        <v>6</v>
      </c>
      <c r="E107" s="5">
        <v>2</v>
      </c>
      <c r="F107" s="5">
        <v>4</v>
      </c>
      <c r="G107" s="5">
        <v>1</v>
      </c>
      <c r="H107" s="5" t="s">
        <v>36</v>
      </c>
      <c r="I107" s="5">
        <v>3</v>
      </c>
      <c r="J107" s="5" t="s">
        <v>37</v>
      </c>
      <c r="K107" s="5">
        <v>3</v>
      </c>
      <c r="L107" s="5" t="s">
        <v>37</v>
      </c>
      <c r="M107" s="5" t="str">
        <f t="shared" si="5"/>
        <v>EuD004-1d3s</v>
      </c>
      <c r="N107" s="5">
        <v>2</v>
      </c>
      <c r="O107" s="2" t="str">
        <f t="shared" si="4"/>
        <v>Uma vez por dia, a cada 3 semanas, por um período de 3 semanas</v>
      </c>
      <c r="P107" t="s">
        <v>195</v>
      </c>
      <c r="Q107" t="s">
        <v>205</v>
      </c>
      <c r="R107" t="s">
        <v>206</v>
      </c>
      <c r="S107">
        <v>0</v>
      </c>
    </row>
    <row r="108" spans="1:19" x14ac:dyDescent="0.25">
      <c r="A108" s="2" t="s">
        <v>32</v>
      </c>
      <c r="B108" s="2" t="s">
        <v>113</v>
      </c>
      <c r="C108" s="2" t="s">
        <v>242</v>
      </c>
      <c r="D108" s="5">
        <v>6</v>
      </c>
      <c r="E108" s="5">
        <v>3</v>
      </c>
      <c r="F108" s="5">
        <v>7</v>
      </c>
      <c r="G108" s="5">
        <v>1</v>
      </c>
      <c r="H108" s="5" t="s">
        <v>36</v>
      </c>
      <c r="I108" s="5"/>
      <c r="J108" s="5"/>
      <c r="K108" s="5">
        <v>0</v>
      </c>
      <c r="L108" s="5" t="s">
        <v>36</v>
      </c>
      <c r="M108" s="5" t="str">
        <f t="shared" si="5"/>
        <v>EuA007-1d0d</v>
      </c>
      <c r="N108" s="5">
        <v>3</v>
      </c>
      <c r="O108" s="2" t="str">
        <f t="shared" si="4"/>
        <v>Uma vez por dia por um período de 0 dias</v>
      </c>
      <c r="P108" t="s">
        <v>195</v>
      </c>
      <c r="Q108" t="s">
        <v>205</v>
      </c>
      <c r="R108" t="s">
        <v>206</v>
      </c>
      <c r="S108">
        <v>0</v>
      </c>
    </row>
    <row r="109" spans="1:19" x14ac:dyDescent="0.25">
      <c r="A109" s="2" t="s">
        <v>32</v>
      </c>
      <c r="B109" s="2" t="s">
        <v>86</v>
      </c>
      <c r="C109" s="2" t="s">
        <v>243</v>
      </c>
      <c r="D109" s="5">
        <v>6</v>
      </c>
      <c r="E109" s="5">
        <v>2</v>
      </c>
      <c r="F109" s="5">
        <v>11</v>
      </c>
      <c r="G109" s="5">
        <v>0</v>
      </c>
      <c r="H109" s="5" t="s">
        <v>36</v>
      </c>
      <c r="I109" s="5"/>
      <c r="J109" s="5"/>
      <c r="K109" s="5">
        <v>3</v>
      </c>
      <c r="L109" s="5" t="s">
        <v>36</v>
      </c>
      <c r="M109" s="5" t="str">
        <f t="shared" si="5"/>
        <v>EuD011-0d3d</v>
      </c>
      <c r="N109" s="5">
        <v>2</v>
      </c>
      <c r="O109" s="2" t="str">
        <f t="shared" si="4"/>
        <v>O dia inteiro por um período de 3 dias</v>
      </c>
      <c r="P109" t="s">
        <v>195</v>
      </c>
      <c r="Q109" t="s">
        <v>205</v>
      </c>
      <c r="R109" t="s">
        <v>206</v>
      </c>
      <c r="S109">
        <v>0</v>
      </c>
    </row>
    <row r="110" spans="1:19" x14ac:dyDescent="0.25">
      <c r="A110" s="2" t="s">
        <v>32</v>
      </c>
      <c r="B110" s="2" t="s">
        <v>57</v>
      </c>
      <c r="C110" s="2" t="s">
        <v>244</v>
      </c>
      <c r="D110" s="5">
        <v>6</v>
      </c>
      <c r="E110" s="5">
        <v>1</v>
      </c>
      <c r="F110" s="5">
        <v>8</v>
      </c>
      <c r="G110" s="5">
        <v>0</v>
      </c>
      <c r="H110" s="5" t="s">
        <v>36</v>
      </c>
      <c r="I110" s="5"/>
      <c r="J110" s="5"/>
      <c r="K110" s="5">
        <v>3</v>
      </c>
      <c r="L110" s="5" t="s">
        <v>37</v>
      </c>
      <c r="M110" s="5" t="str">
        <f t="shared" si="5"/>
        <v>EuB008-0d3s</v>
      </c>
      <c r="N110" s="5">
        <v>1</v>
      </c>
      <c r="O110" s="2" t="str">
        <f t="shared" si="4"/>
        <v>O dia inteiro por um período de 3 semanas</v>
      </c>
      <c r="P110" t="s">
        <v>195</v>
      </c>
      <c r="Q110" t="s">
        <v>205</v>
      </c>
      <c r="R110" t="s">
        <v>206</v>
      </c>
      <c r="S110">
        <v>0</v>
      </c>
    </row>
    <row r="111" spans="1:19" x14ac:dyDescent="0.25">
      <c r="A111" s="2" t="s">
        <v>32</v>
      </c>
      <c r="B111" s="2" t="s">
        <v>57</v>
      </c>
      <c r="C111" s="2" t="s">
        <v>245</v>
      </c>
      <c r="D111" s="5">
        <v>6</v>
      </c>
      <c r="E111" s="5">
        <v>1</v>
      </c>
      <c r="F111" s="5">
        <v>4</v>
      </c>
      <c r="G111" s="5">
        <v>1</v>
      </c>
      <c r="H111" s="5" t="s">
        <v>36</v>
      </c>
      <c r="I111" s="5"/>
      <c r="J111" s="5"/>
      <c r="K111" s="5">
        <v>1</v>
      </c>
      <c r="L111" s="5" t="s">
        <v>37</v>
      </c>
      <c r="M111" s="5" t="str">
        <f t="shared" si="5"/>
        <v>EuB004-1d1s</v>
      </c>
      <c r="N111" s="5">
        <v>1</v>
      </c>
      <c r="O111" s="2" t="str">
        <f t="shared" si="4"/>
        <v>Uma vez por dia por um período de 1 semana</v>
      </c>
      <c r="P111" t="s">
        <v>195</v>
      </c>
      <c r="Q111" t="s">
        <v>205</v>
      </c>
      <c r="R111" t="s">
        <v>206</v>
      </c>
      <c r="S111">
        <v>0</v>
      </c>
    </row>
    <row r="112" spans="1:19" x14ac:dyDescent="0.25">
      <c r="A112" s="2" t="s">
        <v>32</v>
      </c>
      <c r="B112" s="2" t="s">
        <v>57</v>
      </c>
      <c r="C112" s="2" t="s">
        <v>246</v>
      </c>
      <c r="D112" s="5">
        <v>6</v>
      </c>
      <c r="E112" s="5">
        <v>1</v>
      </c>
      <c r="F112" s="5">
        <v>2</v>
      </c>
      <c r="G112" s="5">
        <v>1</v>
      </c>
      <c r="H112" s="5" t="s">
        <v>36</v>
      </c>
      <c r="I112" s="5"/>
      <c r="J112" s="5"/>
      <c r="K112" s="5">
        <v>3</v>
      </c>
      <c r="L112" s="5" t="s">
        <v>37</v>
      </c>
      <c r="M112" s="5" t="str">
        <f t="shared" si="5"/>
        <v>EuB002-1d3s</v>
      </c>
      <c r="N112" s="5">
        <v>1</v>
      </c>
      <c r="O112" s="2" t="str">
        <f t="shared" si="4"/>
        <v>Uma vez por dia por um período de 3 semanas</v>
      </c>
      <c r="P112" t="s">
        <v>195</v>
      </c>
      <c r="Q112" t="s">
        <v>196</v>
      </c>
      <c r="R112" t="s">
        <v>197</v>
      </c>
      <c r="S112">
        <v>0.1</v>
      </c>
    </row>
    <row r="113" spans="1:19" x14ac:dyDescent="0.25">
      <c r="A113" s="2" t="s">
        <v>32</v>
      </c>
      <c r="B113" s="2" t="s">
        <v>113</v>
      </c>
      <c r="C113" s="2" t="s">
        <v>247</v>
      </c>
      <c r="D113" s="5">
        <v>6</v>
      </c>
      <c r="E113" s="5">
        <v>3</v>
      </c>
      <c r="F113" s="5">
        <v>3</v>
      </c>
      <c r="G113" s="5">
        <v>1</v>
      </c>
      <c r="H113" s="5" t="s">
        <v>36</v>
      </c>
      <c r="I113" s="5"/>
      <c r="J113" s="5"/>
      <c r="K113" s="5">
        <v>21</v>
      </c>
      <c r="L113" s="5" t="s">
        <v>36</v>
      </c>
      <c r="M113" s="5" t="str">
        <f t="shared" si="5"/>
        <v>EuA003-1d21d</v>
      </c>
      <c r="N113" s="5">
        <v>3</v>
      </c>
      <c r="O113" s="2" t="str">
        <f>IF(G113=0,"O dia inteiro",IF(G113=1,"Uma vez",TEXT(G113,"0")&amp;" vezes")&amp;" por "&amp;IF(LOWER(H113)="d","dia","semana"))&amp;IF(AND(ISNUMBER(I113),I113&gt;0),", a cada "&amp;TEXT(I112,"0")&amp;" "&amp;IF(I112=1,IF(LOWER(J112)="d","dia","semana"),IF(LOWER(J112)="d","dias","semanas"))&amp;",","")&amp;" por um período de "&amp;TEXT(K112,"0")&amp;" "&amp;IF(K112=1,IF(LOWER(L112)="d","dia","semana"),IF(LOWER(L112)="d","dias","semanas"))</f>
        <v>Uma vez por dia por um período de 3 semanas</v>
      </c>
      <c r="P113" t="s">
        <v>195</v>
      </c>
      <c r="Q113" t="s">
        <v>205</v>
      </c>
      <c r="R113" t="s">
        <v>206</v>
      </c>
      <c r="S113">
        <v>0</v>
      </c>
    </row>
    <row r="114" spans="1:19" x14ac:dyDescent="0.25">
      <c r="A114" s="2" t="s">
        <v>33</v>
      </c>
      <c r="B114" s="2" t="s">
        <v>57</v>
      </c>
      <c r="C114" s="2" t="s">
        <v>248</v>
      </c>
      <c r="D114" s="4">
        <v>4</v>
      </c>
      <c r="E114" s="4">
        <v>1</v>
      </c>
      <c r="F114" s="4">
        <v>1</v>
      </c>
      <c r="G114" s="5">
        <v>1</v>
      </c>
      <c r="H114" s="5" t="s">
        <v>36</v>
      </c>
      <c r="I114" s="5">
        <v>3</v>
      </c>
      <c r="J114" s="5" t="s">
        <v>36</v>
      </c>
      <c r="K114" s="5">
        <v>7</v>
      </c>
      <c r="L114" s="5" t="s">
        <v>36</v>
      </c>
      <c r="M114" s="5" t="str">
        <f>LEFT(A114,2)&amp;LEFT(B114,1)&amp;TEXT(F114,"000")&amp;"-"&amp;IF(
  AND(G114="",H114="",K114="",L114=""),
  "0d0d",
  TEXT(G114,"0")&amp;LOWER(H114)&amp;TEXT(K114,"0")&amp;LOWER(L114)
)</f>
        <v>AmB001-1d7d</v>
      </c>
      <c r="N114" s="5">
        <f t="shared" ref="N114:N177" si="6">IF(B114="Básico",1,IF(B114="Desafio",2,IF(B114="Avançado",3)))</f>
        <v>1</v>
      </c>
      <c r="O114" s="2" t="str">
        <f>IF(
  AND(G114="",H114="",I114="",J114="",K114="",L114=""),
  "Fique atento para a primeira oportunidade que surgir",
  IF(AND(G114=0,LOWER(H114)="d",K114=0,LOWER(L114)="d"),
     "Fique atento para a primeira oportunidade que surgir",
     IF(AND(G114=1,LOWER(H114)="d",K114=1,LOWER(L114)="d"),
        "Pelo menos uma vez",
        IF(G114=0,"O dia inteiro",IF(G114=1,"Uma vez",TEXT(G114,"0")&amp;" vezes")&amp;" por "&amp;IF(LOWER(H114)="d","dia","semana"))
        &amp;IF(AND(ISNUMBER(I114),I114&gt;0),", a cada "&amp;TEXT(I114,"0")&amp;" "&amp;IF(I114=1,IF(LOWER(J114)="d","dia","semana"),IF(LOWER(J114)="d","dias","semanas"))&amp;",","")
        &amp;" por um período de "&amp;TEXT(K114,"0")&amp;" "&amp;IF(K114=1,IF(LOWER(L114)="d","dia","semana"),IF(LOWER(L114)="d","dias","semanas"))
     )
  )
)</f>
        <v>Uma vez por dia, a cada 3 dias, por um período de 7 dias</v>
      </c>
      <c r="P114" t="s">
        <v>249</v>
      </c>
      <c r="Q114" t="s">
        <v>250</v>
      </c>
      <c r="R114" t="s">
        <v>251</v>
      </c>
      <c r="S114">
        <v>0.16700000000000001</v>
      </c>
    </row>
    <row r="115" spans="1:19" x14ac:dyDescent="0.25">
      <c r="A115" s="2" t="s">
        <v>33</v>
      </c>
      <c r="B115" s="2" t="s">
        <v>57</v>
      </c>
      <c r="C115" s="2" t="s">
        <v>252</v>
      </c>
      <c r="D115" s="4">
        <v>4</v>
      </c>
      <c r="E115" s="4">
        <v>1</v>
      </c>
      <c r="F115" s="4">
        <v>2</v>
      </c>
      <c r="G115" s="5"/>
      <c r="H115" s="5"/>
      <c r="I115" s="5"/>
      <c r="J115" s="5"/>
      <c r="K115" s="5"/>
      <c r="L115" s="5"/>
      <c r="M115" s="5" t="str">
        <f>LEFT(A115,2)&amp;LEFT(B115,1)&amp;TEXT(F115,"000")&amp;"-"&amp;IF(
  AND(G115="",H115="",K115="",L115=""),
  "0d0d",
  TEXT(G115,"0")&amp;LOWER(H115)&amp;TEXT(K115,"0")&amp;LOWER(L115)
)</f>
        <v>AmB002-0d0d</v>
      </c>
      <c r="N115" s="5">
        <f t="shared" si="6"/>
        <v>1</v>
      </c>
      <c r="O115" s="2" t="str">
        <f>IF(
  AND(G115="",H115="",I115="",J115="",K115="",L115=""),
  "Fique atento para a primeira oportunidade que surgir",
  IF(AND(G115=0,LOWER(H115)="d",K115=0,LOWER(L115)="d"),
     "Fique atento para a primeira oportunidade que surgir",
     IF(AND(G115=1,LOWER(H115)="d",K115=1,LOWER(L115)="d"),
        "Pelo menos uma vez",
        IF(G115=0,"O dia inteiro",IF(G115=1,"Uma vez",TEXT(G115,"0")&amp;" vezes")&amp;" por "&amp;IF(LOWER(H115)="d","dia","semana"))
        &amp;IF(AND(ISNUMBER(I115),I115&gt;0),", a cada "&amp;TEXT(I115,"0")&amp;" "&amp;IF(I115=1,IF(LOWER(J115)="d","dia","semana"),IF(LOWER(J115)="d","dias","semanas"))&amp;",","")
        &amp;" por um período de "&amp;TEXT(K115,"0")&amp;" "&amp;IF(K115=1,IF(LOWER(L115)="d","dia","semana"),IF(LOWER(L115)="d","dias","semanas"))
     )
  )
)</f>
        <v>Fique atento para a primeira oportunidade que surgir</v>
      </c>
      <c r="P115" t="s">
        <v>249</v>
      </c>
      <c r="Q115" t="s">
        <v>250</v>
      </c>
      <c r="R115" t="s">
        <v>251</v>
      </c>
      <c r="S115">
        <v>0.14299999999999999</v>
      </c>
    </row>
    <row r="116" spans="1:19" x14ac:dyDescent="0.25">
      <c r="A116" s="2" t="s">
        <v>33</v>
      </c>
      <c r="B116" s="2" t="s">
        <v>57</v>
      </c>
      <c r="C116" s="2" t="s">
        <v>253</v>
      </c>
      <c r="D116" s="4">
        <v>4</v>
      </c>
      <c r="E116" s="4">
        <v>1</v>
      </c>
      <c r="F116" s="4">
        <v>3</v>
      </c>
      <c r="G116" s="5"/>
      <c r="H116" s="5"/>
      <c r="I116" s="5"/>
      <c r="J116" s="5"/>
      <c r="K116" s="5"/>
      <c r="L116" s="5"/>
      <c r="M116" s="5" t="str">
        <f t="shared" ref="M116:M150" si="7">LEFT(A116,2)&amp;LEFT(B116,1)&amp;TEXT(F116,"000")&amp;"-"&amp;IF(
AND(G116="",H116="",K116="",L116=""),
"0d0d",
TEXT(G116,"0")&amp;LOWER(H116)&amp;TEXT(K116,"0")&amp;LOWER(L116)
)</f>
        <v>AmB003-0d0d</v>
      </c>
      <c r="N116" s="5">
        <f t="shared" si="6"/>
        <v>1</v>
      </c>
      <c r="O116" s="2" t="str">
        <f t="shared" ref="O116:O150" si="8">IF(
AND(G116="",H116="",I116="",J116="",K116="",L116=""),
"Fique atento para a primeira oportunidade que surgir",
IF(AND(G116=0,LOWER(H116)="d",K116=0,LOWER(L116)="d"),
"Fique atento para a primeira oportunidade que surgir",
IF(AND(G116=1,LOWER(H116)="d",K116=1,LOWER(L116)="d"),
"Pelo menos uma vez",
IF(G116=0,"O dia inteiro",IF(G116=1,"Uma vez",TEXT(G116,"0")&amp;" vezes")&amp;" por "&amp;IF(LOWER(H116)="d","dia","semana"))
&amp;IF(AND(ISNUMBER(I116),I116&gt;0),", a cada "&amp;TEXT(I116,"0")&amp;" "&amp;IF(I116=1,IF(LOWER(J116)="d","dia","semana"),IF(LOWER(J116)="d","dias","semanas"))&amp;",","")
&amp;" por um período de "&amp;TEXT(K116,"0")&amp;" "&amp;IF(K116=1,IF(LOWER(L116)="d","dia","semana"),IF(LOWER(L116)="d","dias","semanas"))
)
)
)</f>
        <v>Fique atento para a primeira oportunidade que surgir</v>
      </c>
      <c r="P116" t="s">
        <v>249</v>
      </c>
      <c r="Q116" t="s">
        <v>250</v>
      </c>
      <c r="R116" t="s">
        <v>251</v>
      </c>
      <c r="S116">
        <v>0</v>
      </c>
    </row>
    <row r="117" spans="1:19" x14ac:dyDescent="0.25">
      <c r="A117" s="2" t="s">
        <v>33</v>
      </c>
      <c r="B117" s="2" t="s">
        <v>57</v>
      </c>
      <c r="C117" s="2" t="s">
        <v>254</v>
      </c>
      <c r="D117" s="4">
        <v>4</v>
      </c>
      <c r="E117" s="4">
        <v>1</v>
      </c>
      <c r="F117" s="4">
        <v>4</v>
      </c>
      <c r="G117" s="5"/>
      <c r="H117" s="5"/>
      <c r="I117" s="5"/>
      <c r="J117" s="5"/>
      <c r="K117" s="5"/>
      <c r="L117" s="5"/>
      <c r="M117" s="5" t="str">
        <f t="shared" si="7"/>
        <v>AmB004-0d0d</v>
      </c>
      <c r="N117" s="5">
        <f t="shared" si="6"/>
        <v>1</v>
      </c>
      <c r="O117" s="2" t="str">
        <f t="shared" si="8"/>
        <v>Fique atento para a primeira oportunidade que surgir</v>
      </c>
      <c r="P117" t="s">
        <v>249</v>
      </c>
      <c r="Q117" t="s">
        <v>250</v>
      </c>
      <c r="R117" t="s">
        <v>251</v>
      </c>
      <c r="S117">
        <v>0.16700000000000001</v>
      </c>
    </row>
    <row r="118" spans="1:19" x14ac:dyDescent="0.25">
      <c r="A118" s="2" t="s">
        <v>33</v>
      </c>
      <c r="B118" s="2" t="s">
        <v>57</v>
      </c>
      <c r="C118" s="2" t="s">
        <v>255</v>
      </c>
      <c r="D118" s="4">
        <v>4</v>
      </c>
      <c r="E118" s="4">
        <v>1</v>
      </c>
      <c r="F118" s="4">
        <v>5</v>
      </c>
      <c r="G118" s="5"/>
      <c r="H118" s="5"/>
      <c r="I118" s="5"/>
      <c r="J118" s="5"/>
      <c r="K118" s="5"/>
      <c r="L118" s="5"/>
      <c r="M118" s="5" t="str">
        <f t="shared" si="7"/>
        <v>AmB005-0d0d</v>
      </c>
      <c r="N118" s="5">
        <f t="shared" si="6"/>
        <v>1</v>
      </c>
      <c r="O118" s="2" t="str">
        <f t="shared" si="8"/>
        <v>Fique atento para a primeira oportunidade que surgir</v>
      </c>
      <c r="P118" t="s">
        <v>249</v>
      </c>
      <c r="Q118" t="s">
        <v>250</v>
      </c>
      <c r="R118" t="s">
        <v>251</v>
      </c>
      <c r="S118">
        <v>0</v>
      </c>
    </row>
    <row r="119" spans="1:19" x14ac:dyDescent="0.25">
      <c r="A119" s="2" t="s">
        <v>33</v>
      </c>
      <c r="B119" s="2" t="s">
        <v>57</v>
      </c>
      <c r="C119" s="2" t="s">
        <v>256</v>
      </c>
      <c r="D119" s="4">
        <v>4</v>
      </c>
      <c r="E119" s="4">
        <v>1</v>
      </c>
      <c r="F119" s="4">
        <v>6</v>
      </c>
      <c r="G119" s="5"/>
      <c r="H119" s="5"/>
      <c r="I119" s="5"/>
      <c r="J119" s="5"/>
      <c r="K119" s="5"/>
      <c r="L119" s="5"/>
      <c r="M119" s="5" t="str">
        <f t="shared" si="7"/>
        <v>AmB006-0d0d</v>
      </c>
      <c r="N119" s="5">
        <f t="shared" si="6"/>
        <v>1</v>
      </c>
      <c r="O119" s="2" t="str">
        <f t="shared" si="8"/>
        <v>Fique atento para a primeira oportunidade que surgir</v>
      </c>
      <c r="P119" t="s">
        <v>249</v>
      </c>
      <c r="Q119" t="s">
        <v>250</v>
      </c>
      <c r="R119" t="s">
        <v>251</v>
      </c>
      <c r="S119">
        <v>0</v>
      </c>
    </row>
    <row r="120" spans="1:19" x14ac:dyDescent="0.25">
      <c r="A120" s="2" t="s">
        <v>33</v>
      </c>
      <c r="B120" s="2" t="s">
        <v>57</v>
      </c>
      <c r="C120" s="2" t="s">
        <v>257</v>
      </c>
      <c r="D120" s="4">
        <v>4</v>
      </c>
      <c r="E120" s="4">
        <v>1</v>
      </c>
      <c r="F120" s="4">
        <v>7</v>
      </c>
      <c r="G120" s="5"/>
      <c r="H120" s="5"/>
      <c r="I120" s="5"/>
      <c r="J120" s="5"/>
      <c r="K120" s="5"/>
      <c r="L120" s="5"/>
      <c r="M120" s="5" t="str">
        <f t="shared" si="7"/>
        <v>AmB007-0d0d</v>
      </c>
      <c r="N120" s="5">
        <f t="shared" si="6"/>
        <v>1</v>
      </c>
      <c r="O120" s="2" t="str">
        <f t="shared" si="8"/>
        <v>Fique atento para a primeira oportunidade que surgir</v>
      </c>
      <c r="P120" t="s">
        <v>249</v>
      </c>
      <c r="Q120" t="s">
        <v>258</v>
      </c>
      <c r="R120" t="s">
        <v>259</v>
      </c>
      <c r="S120">
        <v>9.0999999999999998E-2</v>
      </c>
    </row>
    <row r="121" spans="1:19" x14ac:dyDescent="0.25">
      <c r="A121" s="2" t="s">
        <v>33</v>
      </c>
      <c r="B121" s="2" t="s">
        <v>57</v>
      </c>
      <c r="C121" s="2" t="s">
        <v>260</v>
      </c>
      <c r="D121" s="4">
        <v>4</v>
      </c>
      <c r="E121" s="4">
        <v>1</v>
      </c>
      <c r="F121" s="4">
        <v>8</v>
      </c>
      <c r="G121" s="5"/>
      <c r="H121" s="5"/>
      <c r="I121" s="5"/>
      <c r="J121" s="5"/>
      <c r="K121" s="5"/>
      <c r="L121" s="5"/>
      <c r="M121" s="5" t="str">
        <f t="shared" si="7"/>
        <v>AmB008-0d0d</v>
      </c>
      <c r="N121" s="5">
        <f t="shared" si="6"/>
        <v>1</v>
      </c>
      <c r="O121" s="2" t="str">
        <f t="shared" si="8"/>
        <v>Fique atento para a primeira oportunidade que surgir</v>
      </c>
      <c r="P121" t="s">
        <v>249</v>
      </c>
      <c r="Q121" t="s">
        <v>250</v>
      </c>
      <c r="R121" t="s">
        <v>251</v>
      </c>
      <c r="S121">
        <v>0.4</v>
      </c>
    </row>
    <row r="122" spans="1:19" x14ac:dyDescent="0.25">
      <c r="A122" s="2" t="s">
        <v>33</v>
      </c>
      <c r="B122" s="2" t="s">
        <v>57</v>
      </c>
      <c r="C122" s="2" t="s">
        <v>261</v>
      </c>
      <c r="D122" s="4">
        <v>4</v>
      </c>
      <c r="E122" s="4">
        <v>1</v>
      </c>
      <c r="F122" s="4">
        <v>9</v>
      </c>
      <c r="G122" s="5"/>
      <c r="H122" s="5"/>
      <c r="I122" s="5"/>
      <c r="J122" s="5"/>
      <c r="K122" s="5"/>
      <c r="L122" s="5"/>
      <c r="M122" s="5" t="str">
        <f t="shared" si="7"/>
        <v>AmB009-0d0d</v>
      </c>
      <c r="N122" s="5">
        <f t="shared" si="6"/>
        <v>1</v>
      </c>
      <c r="O122" s="2" t="str">
        <f t="shared" si="8"/>
        <v>Fique atento para a primeira oportunidade que surgir</v>
      </c>
      <c r="P122" t="s">
        <v>249</v>
      </c>
      <c r="Q122" t="s">
        <v>250</v>
      </c>
      <c r="R122" t="s">
        <v>251</v>
      </c>
      <c r="S122">
        <v>0</v>
      </c>
    </row>
    <row r="123" spans="1:19" x14ac:dyDescent="0.25">
      <c r="A123" s="2" t="s">
        <v>33</v>
      </c>
      <c r="B123" s="2" t="s">
        <v>57</v>
      </c>
      <c r="C123" s="2" t="s">
        <v>262</v>
      </c>
      <c r="D123" s="4">
        <v>4</v>
      </c>
      <c r="E123" s="4">
        <v>1</v>
      </c>
      <c r="F123" s="4">
        <v>10</v>
      </c>
      <c r="G123" s="5"/>
      <c r="H123" s="5"/>
      <c r="I123" s="5"/>
      <c r="J123" s="5"/>
      <c r="K123" s="5"/>
      <c r="L123" s="5"/>
      <c r="M123" s="5" t="str">
        <f t="shared" si="7"/>
        <v>AmB010-0d0d</v>
      </c>
      <c r="N123" s="5">
        <f t="shared" si="6"/>
        <v>1</v>
      </c>
      <c r="O123" s="2" t="str">
        <f t="shared" si="8"/>
        <v>Fique atento para a primeira oportunidade que surgir</v>
      </c>
      <c r="P123" t="s">
        <v>249</v>
      </c>
      <c r="Q123" t="s">
        <v>250</v>
      </c>
      <c r="R123" t="s">
        <v>251</v>
      </c>
      <c r="S123">
        <v>0.14299999999999999</v>
      </c>
    </row>
    <row r="124" spans="1:19" x14ac:dyDescent="0.25">
      <c r="A124" s="2" t="s">
        <v>33</v>
      </c>
      <c r="B124" s="2" t="s">
        <v>86</v>
      </c>
      <c r="C124" s="2" t="s">
        <v>263</v>
      </c>
      <c r="D124" s="4">
        <v>4</v>
      </c>
      <c r="E124" s="4">
        <v>2</v>
      </c>
      <c r="F124" s="4">
        <v>1</v>
      </c>
      <c r="G124" s="5"/>
      <c r="H124" s="5"/>
      <c r="I124" s="5"/>
      <c r="J124" s="5"/>
      <c r="K124" s="5"/>
      <c r="L124" s="5"/>
      <c r="M124" s="5" t="str">
        <f t="shared" si="7"/>
        <v>AmD001-0d0d</v>
      </c>
      <c r="N124" s="5">
        <f t="shared" si="6"/>
        <v>2</v>
      </c>
      <c r="O124" s="2" t="str">
        <f t="shared" si="8"/>
        <v>Fique atento para a primeira oportunidade que surgir</v>
      </c>
      <c r="P124" t="s">
        <v>249</v>
      </c>
      <c r="Q124" t="s">
        <v>250</v>
      </c>
      <c r="R124" t="s">
        <v>251</v>
      </c>
      <c r="S124">
        <v>0</v>
      </c>
    </row>
    <row r="125" spans="1:19" x14ac:dyDescent="0.25">
      <c r="A125" s="2" t="s">
        <v>33</v>
      </c>
      <c r="B125" s="2" t="s">
        <v>86</v>
      </c>
      <c r="C125" s="2" t="s">
        <v>264</v>
      </c>
      <c r="D125" s="4">
        <v>4</v>
      </c>
      <c r="E125" s="4">
        <v>2</v>
      </c>
      <c r="F125" s="4">
        <v>2</v>
      </c>
      <c r="G125" s="5">
        <v>0</v>
      </c>
      <c r="H125" s="5" t="s">
        <v>36</v>
      </c>
      <c r="I125" s="5"/>
      <c r="J125" s="5"/>
      <c r="K125" s="5">
        <v>7</v>
      </c>
      <c r="L125" s="5" t="s">
        <v>36</v>
      </c>
      <c r="M125" s="5" t="str">
        <f t="shared" si="7"/>
        <v>AmD002-0d7d</v>
      </c>
      <c r="N125" s="5">
        <f t="shared" si="6"/>
        <v>2</v>
      </c>
      <c r="O125" s="2" t="str">
        <f t="shared" si="8"/>
        <v>O dia inteiro por um período de 7 dias</v>
      </c>
      <c r="P125" t="s">
        <v>249</v>
      </c>
      <c r="Q125" t="s">
        <v>265</v>
      </c>
      <c r="R125" t="s">
        <v>266</v>
      </c>
      <c r="S125">
        <v>0.182</v>
      </c>
    </row>
    <row r="126" spans="1:19" x14ac:dyDescent="0.25">
      <c r="A126" s="2" t="s">
        <v>33</v>
      </c>
      <c r="B126" s="2" t="s">
        <v>86</v>
      </c>
      <c r="C126" s="2" t="s">
        <v>267</v>
      </c>
      <c r="D126" s="4">
        <v>4</v>
      </c>
      <c r="E126" s="4">
        <v>2</v>
      </c>
      <c r="F126" s="4">
        <v>3</v>
      </c>
      <c r="G126" s="5"/>
      <c r="H126" s="5"/>
      <c r="I126" s="5"/>
      <c r="J126" s="5"/>
      <c r="K126" s="5"/>
      <c r="L126" s="5"/>
      <c r="M126" s="5" t="str">
        <f t="shared" si="7"/>
        <v>AmD003-0d0d</v>
      </c>
      <c r="N126" s="5">
        <f t="shared" si="6"/>
        <v>2</v>
      </c>
      <c r="O126" s="2" t="str">
        <f t="shared" si="8"/>
        <v>Fique atento para a primeira oportunidade que surgir</v>
      </c>
      <c r="P126" t="s">
        <v>249</v>
      </c>
      <c r="Q126" t="s">
        <v>250</v>
      </c>
      <c r="R126" t="s">
        <v>251</v>
      </c>
      <c r="S126">
        <v>0.125</v>
      </c>
    </row>
    <row r="127" spans="1:19" x14ac:dyDescent="0.25">
      <c r="A127" s="2" t="s">
        <v>33</v>
      </c>
      <c r="B127" s="2" t="s">
        <v>86</v>
      </c>
      <c r="C127" s="2" t="s">
        <v>268</v>
      </c>
      <c r="D127" s="4">
        <v>4</v>
      </c>
      <c r="E127" s="4">
        <v>2</v>
      </c>
      <c r="F127" s="4">
        <v>4</v>
      </c>
      <c r="G127" s="5"/>
      <c r="H127" s="5"/>
      <c r="I127" s="5"/>
      <c r="J127" s="5"/>
      <c r="K127" s="5"/>
      <c r="L127" s="5"/>
      <c r="M127" s="5" t="str">
        <f t="shared" si="7"/>
        <v>AmD004-0d0d</v>
      </c>
      <c r="N127" s="5">
        <f t="shared" si="6"/>
        <v>2</v>
      </c>
      <c r="O127" s="2" t="str">
        <f t="shared" si="8"/>
        <v>Fique atento para a primeira oportunidade que surgir</v>
      </c>
      <c r="P127" t="s">
        <v>249</v>
      </c>
      <c r="Q127" t="s">
        <v>250</v>
      </c>
      <c r="R127" t="s">
        <v>251</v>
      </c>
      <c r="S127">
        <v>0</v>
      </c>
    </row>
    <row r="128" spans="1:19" x14ac:dyDescent="0.25">
      <c r="A128" s="2" t="s">
        <v>33</v>
      </c>
      <c r="B128" s="2" t="s">
        <v>86</v>
      </c>
      <c r="C128" s="2" t="s">
        <v>269</v>
      </c>
      <c r="D128" s="4">
        <v>4</v>
      </c>
      <c r="E128" s="4">
        <v>2</v>
      </c>
      <c r="F128" s="4">
        <v>5</v>
      </c>
      <c r="G128" s="5">
        <v>0</v>
      </c>
      <c r="H128" s="5" t="s">
        <v>36</v>
      </c>
      <c r="I128" s="5"/>
      <c r="J128" s="5"/>
      <c r="K128" s="5">
        <v>1</v>
      </c>
      <c r="L128" s="5" t="s">
        <v>36</v>
      </c>
      <c r="M128" s="5" t="str">
        <f t="shared" si="7"/>
        <v>AmD005-0d1d</v>
      </c>
      <c r="N128" s="5">
        <f t="shared" si="6"/>
        <v>2</v>
      </c>
      <c r="O128" s="2" t="str">
        <f t="shared" si="8"/>
        <v>O dia inteiro por um período de 1 dia</v>
      </c>
      <c r="P128" t="s">
        <v>249</v>
      </c>
      <c r="Q128" t="s">
        <v>250</v>
      </c>
      <c r="R128" t="s">
        <v>251</v>
      </c>
      <c r="S128">
        <v>0.125</v>
      </c>
    </row>
    <row r="129" spans="1:19" x14ac:dyDescent="0.25">
      <c r="A129" s="2" t="s">
        <v>33</v>
      </c>
      <c r="B129" s="2" t="s">
        <v>86</v>
      </c>
      <c r="C129" s="2" t="s">
        <v>270</v>
      </c>
      <c r="D129" s="4">
        <v>4</v>
      </c>
      <c r="E129" s="4">
        <v>2</v>
      </c>
      <c r="F129" s="4">
        <v>6</v>
      </c>
      <c r="G129" s="5">
        <v>1</v>
      </c>
      <c r="H129" s="5" t="s">
        <v>36</v>
      </c>
      <c r="I129" s="5"/>
      <c r="J129" s="5"/>
      <c r="K129" s="5">
        <v>1</v>
      </c>
      <c r="L129" s="5" t="s">
        <v>36</v>
      </c>
      <c r="M129" s="5" t="str">
        <f t="shared" si="7"/>
        <v>AmD006-1d1d</v>
      </c>
      <c r="N129" s="5">
        <f t="shared" si="6"/>
        <v>2</v>
      </c>
      <c r="O129" s="2" t="str">
        <f t="shared" si="8"/>
        <v>Pelo menos uma vez</v>
      </c>
      <c r="P129" t="s">
        <v>249</v>
      </c>
      <c r="Q129" t="s">
        <v>250</v>
      </c>
      <c r="R129" t="s">
        <v>251</v>
      </c>
      <c r="S129">
        <v>0.16700000000000001</v>
      </c>
    </row>
    <row r="130" spans="1:19" x14ac:dyDescent="0.25">
      <c r="A130" s="2" t="s">
        <v>33</v>
      </c>
      <c r="B130" s="2" t="s">
        <v>86</v>
      </c>
      <c r="C130" s="2" t="s">
        <v>271</v>
      </c>
      <c r="D130" s="4">
        <v>4</v>
      </c>
      <c r="E130" s="4">
        <v>2</v>
      </c>
      <c r="F130" s="4">
        <v>7</v>
      </c>
      <c r="G130" s="5">
        <v>1</v>
      </c>
      <c r="H130" s="5" t="s">
        <v>36</v>
      </c>
      <c r="I130" s="5"/>
      <c r="J130" s="5"/>
      <c r="K130" s="5">
        <v>1</v>
      </c>
      <c r="L130" s="5" t="s">
        <v>36</v>
      </c>
      <c r="M130" s="5" t="str">
        <f t="shared" si="7"/>
        <v>AmD007-1d1d</v>
      </c>
      <c r="N130" s="5">
        <f t="shared" si="6"/>
        <v>2</v>
      </c>
      <c r="O130" s="2" t="str">
        <f t="shared" si="8"/>
        <v>Pelo menos uma vez</v>
      </c>
      <c r="P130" t="s">
        <v>249</v>
      </c>
      <c r="Q130" t="s">
        <v>250</v>
      </c>
      <c r="R130" t="s">
        <v>251</v>
      </c>
      <c r="S130">
        <v>0</v>
      </c>
    </row>
    <row r="131" spans="1:19" x14ac:dyDescent="0.25">
      <c r="A131" s="2" t="s">
        <v>33</v>
      </c>
      <c r="B131" s="2" t="s">
        <v>86</v>
      </c>
      <c r="C131" s="2" t="s">
        <v>272</v>
      </c>
      <c r="D131" s="4">
        <v>4</v>
      </c>
      <c r="E131" s="4">
        <v>2</v>
      </c>
      <c r="F131" s="4">
        <v>8</v>
      </c>
      <c r="G131" s="5">
        <v>1</v>
      </c>
      <c r="H131" s="5" t="s">
        <v>36</v>
      </c>
      <c r="I131" s="5"/>
      <c r="J131" s="5"/>
      <c r="K131" s="5">
        <v>1</v>
      </c>
      <c r="L131" s="5" t="s">
        <v>36</v>
      </c>
      <c r="M131" s="5" t="str">
        <f t="shared" si="7"/>
        <v>AmD008-1d1d</v>
      </c>
      <c r="N131" s="5">
        <f t="shared" si="6"/>
        <v>2</v>
      </c>
      <c r="O131" s="2" t="str">
        <f t="shared" si="8"/>
        <v>Pelo menos uma vez</v>
      </c>
      <c r="P131" t="s">
        <v>249</v>
      </c>
      <c r="Q131" t="s">
        <v>250</v>
      </c>
      <c r="R131" t="s">
        <v>251</v>
      </c>
      <c r="S131">
        <v>0</v>
      </c>
    </row>
    <row r="132" spans="1:19" x14ac:dyDescent="0.25">
      <c r="A132" s="2" t="s">
        <v>33</v>
      </c>
      <c r="B132" s="2" t="s">
        <v>86</v>
      </c>
      <c r="C132" s="2" t="s">
        <v>273</v>
      </c>
      <c r="D132" s="4">
        <v>4</v>
      </c>
      <c r="E132" s="4">
        <v>2</v>
      </c>
      <c r="F132" s="4">
        <v>9</v>
      </c>
      <c r="G132" s="5">
        <v>1</v>
      </c>
      <c r="H132" s="5" t="s">
        <v>36</v>
      </c>
      <c r="I132" s="5"/>
      <c r="J132" s="5"/>
      <c r="K132" s="5">
        <v>1</v>
      </c>
      <c r="L132" s="5" t="s">
        <v>36</v>
      </c>
      <c r="M132" s="5" t="str">
        <f t="shared" si="7"/>
        <v>AmD009-1d1d</v>
      </c>
      <c r="N132" s="5">
        <f t="shared" si="6"/>
        <v>2</v>
      </c>
      <c r="O132" s="2" t="str">
        <f t="shared" si="8"/>
        <v>Pelo menos uma vez</v>
      </c>
      <c r="P132" t="s">
        <v>249</v>
      </c>
      <c r="Q132" t="s">
        <v>250</v>
      </c>
      <c r="R132" t="s">
        <v>251</v>
      </c>
      <c r="S132">
        <v>0.16700000000000001</v>
      </c>
    </row>
    <row r="133" spans="1:19" x14ac:dyDescent="0.25">
      <c r="A133" s="2" t="s">
        <v>33</v>
      </c>
      <c r="B133" s="2" t="s">
        <v>86</v>
      </c>
      <c r="C133" s="2" t="s">
        <v>274</v>
      </c>
      <c r="D133" s="4">
        <v>4</v>
      </c>
      <c r="E133" s="4">
        <v>2</v>
      </c>
      <c r="F133" s="4">
        <v>10</v>
      </c>
      <c r="G133" s="5">
        <v>1</v>
      </c>
      <c r="H133" s="5" t="s">
        <v>36</v>
      </c>
      <c r="I133" s="5"/>
      <c r="J133" s="5"/>
      <c r="K133" s="5">
        <v>1</v>
      </c>
      <c r="L133" s="5" t="s">
        <v>36</v>
      </c>
      <c r="M133" s="5" t="str">
        <f t="shared" si="7"/>
        <v>AmD010-1d1d</v>
      </c>
      <c r="N133" s="5">
        <f t="shared" si="6"/>
        <v>2</v>
      </c>
      <c r="O133" s="2" t="str">
        <f t="shared" si="8"/>
        <v>Pelo menos uma vez</v>
      </c>
      <c r="P133" t="s">
        <v>249</v>
      </c>
      <c r="Q133" t="s">
        <v>250</v>
      </c>
      <c r="R133" t="s">
        <v>251</v>
      </c>
      <c r="S133">
        <v>0</v>
      </c>
    </row>
    <row r="134" spans="1:19" x14ac:dyDescent="0.25">
      <c r="A134" s="2" t="s">
        <v>33</v>
      </c>
      <c r="B134" s="2" t="s">
        <v>86</v>
      </c>
      <c r="C134" s="2" t="s">
        <v>275</v>
      </c>
      <c r="D134" s="4">
        <v>4</v>
      </c>
      <c r="E134" s="4">
        <v>2</v>
      </c>
      <c r="F134" s="4">
        <v>11</v>
      </c>
      <c r="G134" s="5">
        <v>1</v>
      </c>
      <c r="H134" s="5" t="s">
        <v>36</v>
      </c>
      <c r="I134" s="5"/>
      <c r="J134" s="5"/>
      <c r="K134" s="5">
        <v>1</v>
      </c>
      <c r="L134" s="5" t="s">
        <v>36</v>
      </c>
      <c r="M134" s="5" t="str">
        <f t="shared" si="7"/>
        <v>AmD011-1d1d</v>
      </c>
      <c r="N134" s="5">
        <f t="shared" si="6"/>
        <v>2</v>
      </c>
      <c r="O134" s="2" t="str">
        <f t="shared" si="8"/>
        <v>Pelo menos uma vez</v>
      </c>
      <c r="P134" t="s">
        <v>249</v>
      </c>
      <c r="Q134" t="s">
        <v>276</v>
      </c>
      <c r="R134" t="s">
        <v>277</v>
      </c>
      <c r="S134">
        <v>0.125</v>
      </c>
    </row>
    <row r="135" spans="1:19" x14ac:dyDescent="0.25">
      <c r="A135" s="2" t="s">
        <v>33</v>
      </c>
      <c r="B135" s="2" t="s">
        <v>86</v>
      </c>
      <c r="C135" s="2" t="s">
        <v>278</v>
      </c>
      <c r="D135" s="4">
        <v>4</v>
      </c>
      <c r="E135" s="4">
        <v>2</v>
      </c>
      <c r="F135" s="4">
        <v>12</v>
      </c>
      <c r="G135" s="5">
        <v>1</v>
      </c>
      <c r="H135" s="5" t="s">
        <v>36</v>
      </c>
      <c r="I135" s="5"/>
      <c r="J135" s="5"/>
      <c r="K135" s="5">
        <v>1</v>
      </c>
      <c r="L135" s="5" t="s">
        <v>36</v>
      </c>
      <c r="M135" s="5" t="str">
        <f t="shared" si="7"/>
        <v>AmD012-1d1d</v>
      </c>
      <c r="N135" s="5">
        <f t="shared" si="6"/>
        <v>2</v>
      </c>
      <c r="O135" s="2" t="str">
        <f t="shared" si="8"/>
        <v>Pelo menos uma vez</v>
      </c>
      <c r="P135" t="s">
        <v>249</v>
      </c>
      <c r="Q135" t="s">
        <v>250</v>
      </c>
      <c r="R135" t="s">
        <v>251</v>
      </c>
      <c r="S135">
        <v>0</v>
      </c>
    </row>
    <row r="136" spans="1:19" x14ac:dyDescent="0.25">
      <c r="A136" s="2" t="s">
        <v>33</v>
      </c>
      <c r="B136" s="2" t="s">
        <v>113</v>
      </c>
      <c r="C136" s="2" t="s">
        <v>279</v>
      </c>
      <c r="D136" s="4">
        <v>4</v>
      </c>
      <c r="E136" s="4">
        <v>3</v>
      </c>
      <c r="F136" s="4">
        <v>1</v>
      </c>
      <c r="G136" s="5">
        <v>1</v>
      </c>
      <c r="H136" s="5" t="s">
        <v>36</v>
      </c>
      <c r="I136" s="5">
        <v>7</v>
      </c>
      <c r="J136" s="5" t="s">
        <v>36</v>
      </c>
      <c r="K136" s="5">
        <v>60</v>
      </c>
      <c r="L136" s="5" t="s">
        <v>36</v>
      </c>
      <c r="M136" s="5" t="str">
        <f t="shared" si="7"/>
        <v>AmA001-1d60d</v>
      </c>
      <c r="N136" s="5">
        <f t="shared" si="6"/>
        <v>3</v>
      </c>
      <c r="O136" s="2" t="str">
        <f t="shared" si="8"/>
        <v>Uma vez por dia, a cada 7 dias, por um período de 60 dias</v>
      </c>
      <c r="P136" t="s">
        <v>249</v>
      </c>
      <c r="Q136" t="s">
        <v>250</v>
      </c>
      <c r="R136" t="s">
        <v>251</v>
      </c>
      <c r="S136">
        <v>0</v>
      </c>
    </row>
    <row r="137" spans="1:19" x14ac:dyDescent="0.25">
      <c r="A137" s="2" t="s">
        <v>33</v>
      </c>
      <c r="B137" s="2" t="s">
        <v>113</v>
      </c>
      <c r="C137" s="2" t="s">
        <v>280</v>
      </c>
      <c r="D137" s="4">
        <v>4</v>
      </c>
      <c r="E137" s="4">
        <v>3</v>
      </c>
      <c r="F137" s="4">
        <v>2</v>
      </c>
      <c r="G137" s="5">
        <v>1</v>
      </c>
      <c r="H137" s="5" t="s">
        <v>36</v>
      </c>
      <c r="I137" s="5"/>
      <c r="J137" s="5"/>
      <c r="K137" s="5">
        <v>1</v>
      </c>
      <c r="L137" s="5" t="s">
        <v>36</v>
      </c>
      <c r="M137" s="5" t="str">
        <f t="shared" si="7"/>
        <v>AmA002-1d1d</v>
      </c>
      <c r="N137" s="5">
        <f t="shared" si="6"/>
        <v>3</v>
      </c>
      <c r="O137" s="2" t="str">
        <f t="shared" si="8"/>
        <v>Pelo menos uma vez</v>
      </c>
      <c r="P137" t="s">
        <v>249</v>
      </c>
      <c r="Q137" t="s">
        <v>250</v>
      </c>
      <c r="R137" t="s">
        <v>251</v>
      </c>
      <c r="S137">
        <v>0.14299999999999999</v>
      </c>
    </row>
    <row r="138" spans="1:19" x14ac:dyDescent="0.25">
      <c r="A138" s="2" t="s">
        <v>33</v>
      </c>
      <c r="B138" s="2" t="s">
        <v>113</v>
      </c>
      <c r="C138" s="2" t="s">
        <v>281</v>
      </c>
      <c r="D138" s="4">
        <v>4</v>
      </c>
      <c r="E138" s="4">
        <v>3</v>
      </c>
      <c r="F138" s="4">
        <v>3</v>
      </c>
      <c r="G138" s="5">
        <v>1</v>
      </c>
      <c r="H138" s="5" t="s">
        <v>36</v>
      </c>
      <c r="I138" s="5"/>
      <c r="J138" s="5"/>
      <c r="K138" s="5">
        <v>1</v>
      </c>
      <c r="L138" s="5" t="s">
        <v>36</v>
      </c>
      <c r="M138" s="5" t="str">
        <f t="shared" si="7"/>
        <v>AmA003-1d1d</v>
      </c>
      <c r="N138" s="5">
        <f t="shared" si="6"/>
        <v>3</v>
      </c>
      <c r="O138" s="2" t="str">
        <f t="shared" si="8"/>
        <v>Pelo menos uma vez</v>
      </c>
      <c r="P138" t="s">
        <v>249</v>
      </c>
      <c r="Q138" t="s">
        <v>250</v>
      </c>
      <c r="R138" t="s">
        <v>251</v>
      </c>
      <c r="S138">
        <v>0</v>
      </c>
    </row>
    <row r="139" spans="1:19" x14ac:dyDescent="0.25">
      <c r="A139" s="2" t="s">
        <v>33</v>
      </c>
      <c r="B139" s="2" t="s">
        <v>113</v>
      </c>
      <c r="C139" s="2" t="s">
        <v>282</v>
      </c>
      <c r="D139" s="4">
        <v>4</v>
      </c>
      <c r="E139" s="4">
        <v>3</v>
      </c>
      <c r="F139" s="4">
        <v>4</v>
      </c>
      <c r="G139" s="5">
        <v>1</v>
      </c>
      <c r="H139" s="5" t="s">
        <v>36</v>
      </c>
      <c r="I139" s="5"/>
      <c r="J139" s="5"/>
      <c r="K139" s="5">
        <v>1</v>
      </c>
      <c r="L139" s="5" t="s">
        <v>36</v>
      </c>
      <c r="M139" s="5" t="str">
        <f t="shared" si="7"/>
        <v>AmA004-1d1d</v>
      </c>
      <c r="N139" s="5">
        <f t="shared" si="6"/>
        <v>3</v>
      </c>
      <c r="O139" s="2" t="str">
        <f t="shared" si="8"/>
        <v>Pelo menos uma vez</v>
      </c>
      <c r="P139" t="s">
        <v>249</v>
      </c>
      <c r="Q139" t="s">
        <v>250</v>
      </c>
      <c r="R139" t="s">
        <v>251</v>
      </c>
      <c r="S139">
        <v>0.125</v>
      </c>
    </row>
    <row r="140" spans="1:19" x14ac:dyDescent="0.25">
      <c r="A140" s="2" t="s">
        <v>33</v>
      </c>
      <c r="B140" s="2" t="s">
        <v>113</v>
      </c>
      <c r="C140" s="2" t="s">
        <v>283</v>
      </c>
      <c r="D140" s="4">
        <v>4</v>
      </c>
      <c r="E140" s="4">
        <v>3</v>
      </c>
      <c r="F140" s="4">
        <v>5</v>
      </c>
      <c r="G140" s="5">
        <v>1</v>
      </c>
      <c r="H140" s="5" t="s">
        <v>36</v>
      </c>
      <c r="I140" s="5">
        <v>7</v>
      </c>
      <c r="J140" s="5" t="s">
        <v>36</v>
      </c>
      <c r="K140" s="5">
        <v>30</v>
      </c>
      <c r="L140" s="5" t="s">
        <v>36</v>
      </c>
      <c r="M140" s="5" t="str">
        <f t="shared" si="7"/>
        <v>AmA005-1d30d</v>
      </c>
      <c r="N140" s="5">
        <f t="shared" si="6"/>
        <v>3</v>
      </c>
      <c r="O140" s="2" t="str">
        <f t="shared" si="8"/>
        <v>Uma vez por dia, a cada 7 dias, por um período de 30 dias</v>
      </c>
      <c r="P140" t="s">
        <v>249</v>
      </c>
      <c r="Q140" t="s">
        <v>250</v>
      </c>
      <c r="R140" t="s">
        <v>251</v>
      </c>
      <c r="S140">
        <v>0.125</v>
      </c>
    </row>
    <row r="141" spans="1:19" x14ac:dyDescent="0.25">
      <c r="A141" s="2" t="s">
        <v>33</v>
      </c>
      <c r="B141" s="2" t="s">
        <v>113</v>
      </c>
      <c r="C141" s="2" t="s">
        <v>284</v>
      </c>
      <c r="D141" s="4">
        <v>4</v>
      </c>
      <c r="E141" s="4">
        <v>3</v>
      </c>
      <c r="F141" s="4">
        <v>6</v>
      </c>
      <c r="G141" s="5">
        <v>1</v>
      </c>
      <c r="H141" s="5" t="s">
        <v>36</v>
      </c>
      <c r="I141" s="5"/>
      <c r="J141" s="5"/>
      <c r="K141" s="5">
        <v>21</v>
      </c>
      <c r="L141" s="5" t="s">
        <v>36</v>
      </c>
      <c r="M141" s="5" t="str">
        <f t="shared" si="7"/>
        <v>AmA006-1d21d</v>
      </c>
      <c r="N141" s="5">
        <f t="shared" si="6"/>
        <v>3</v>
      </c>
      <c r="O141" s="2" t="str">
        <f t="shared" si="8"/>
        <v>Uma vez por dia por um período de 21 dias</v>
      </c>
      <c r="P141" t="s">
        <v>249</v>
      </c>
      <c r="Q141" t="s">
        <v>250</v>
      </c>
      <c r="R141" t="s">
        <v>251</v>
      </c>
      <c r="S141">
        <v>0.14299999999999999</v>
      </c>
    </row>
    <row r="142" spans="1:19" x14ac:dyDescent="0.25">
      <c r="A142" s="2" t="s">
        <v>33</v>
      </c>
      <c r="B142" s="2" t="s">
        <v>113</v>
      </c>
      <c r="C142" s="2" t="s">
        <v>285</v>
      </c>
      <c r="D142" s="4">
        <v>4</v>
      </c>
      <c r="E142" s="4">
        <v>3</v>
      </c>
      <c r="F142" s="4">
        <v>7</v>
      </c>
      <c r="G142" s="5">
        <v>1</v>
      </c>
      <c r="H142" s="5" t="s">
        <v>36</v>
      </c>
      <c r="I142" s="5"/>
      <c r="J142" s="5"/>
      <c r="K142" s="5">
        <v>1</v>
      </c>
      <c r="L142" s="5" t="s">
        <v>36</v>
      </c>
      <c r="M142" s="5" t="str">
        <f t="shared" si="7"/>
        <v>AmA007-1d1d</v>
      </c>
      <c r="N142" s="5">
        <f t="shared" si="6"/>
        <v>3</v>
      </c>
      <c r="O142" s="2" t="str">
        <f t="shared" si="8"/>
        <v>Pelo menos uma vez</v>
      </c>
      <c r="P142" t="s">
        <v>249</v>
      </c>
      <c r="Q142" t="s">
        <v>250</v>
      </c>
      <c r="R142" t="s">
        <v>251</v>
      </c>
      <c r="S142">
        <v>0</v>
      </c>
    </row>
    <row r="143" spans="1:19" x14ac:dyDescent="0.25">
      <c r="A143" s="2" t="s">
        <v>33</v>
      </c>
      <c r="B143" s="2" t="s">
        <v>113</v>
      </c>
      <c r="C143" s="2" t="s">
        <v>286</v>
      </c>
      <c r="D143" s="4">
        <v>4</v>
      </c>
      <c r="E143" s="4">
        <v>3</v>
      </c>
      <c r="F143" s="4">
        <v>8</v>
      </c>
      <c r="G143" s="5">
        <v>1</v>
      </c>
      <c r="H143" s="5" t="s">
        <v>36</v>
      </c>
      <c r="I143" s="5">
        <v>7</v>
      </c>
      <c r="J143" s="5" t="s">
        <v>36</v>
      </c>
      <c r="K143" s="5">
        <v>21</v>
      </c>
      <c r="L143" s="5" t="s">
        <v>36</v>
      </c>
      <c r="M143" s="5" t="str">
        <f t="shared" si="7"/>
        <v>AmA008-1d21d</v>
      </c>
      <c r="N143" s="5">
        <f t="shared" si="6"/>
        <v>3</v>
      </c>
      <c r="O143" s="2" t="str">
        <f t="shared" si="8"/>
        <v>Uma vez por dia, a cada 7 dias, por um período de 21 dias</v>
      </c>
      <c r="P143" t="s">
        <v>249</v>
      </c>
      <c r="Q143" t="s">
        <v>250</v>
      </c>
      <c r="R143" t="s">
        <v>251</v>
      </c>
      <c r="S143">
        <v>0.16700000000000001</v>
      </c>
    </row>
    <row r="144" spans="1:19" x14ac:dyDescent="0.25">
      <c r="A144" s="2" t="s">
        <v>33</v>
      </c>
      <c r="B144" s="2" t="s">
        <v>113</v>
      </c>
      <c r="C144" s="2" t="s">
        <v>287</v>
      </c>
      <c r="D144" s="4">
        <v>4</v>
      </c>
      <c r="E144" s="4">
        <v>3</v>
      </c>
      <c r="F144" s="4">
        <v>9</v>
      </c>
      <c r="G144" s="5">
        <v>1</v>
      </c>
      <c r="H144" s="5" t="s">
        <v>36</v>
      </c>
      <c r="I144" s="5"/>
      <c r="J144" s="5"/>
      <c r="K144" s="5">
        <v>1</v>
      </c>
      <c r="L144" s="5" t="s">
        <v>36</v>
      </c>
      <c r="M144" s="5" t="str">
        <f t="shared" si="7"/>
        <v>AmA009-1d1d</v>
      </c>
      <c r="N144" s="5">
        <f t="shared" si="6"/>
        <v>3</v>
      </c>
      <c r="O144" s="2" t="str">
        <f t="shared" si="8"/>
        <v>Pelo menos uma vez</v>
      </c>
      <c r="P144" t="s">
        <v>249</v>
      </c>
      <c r="Q144" t="s">
        <v>250</v>
      </c>
      <c r="R144" t="s">
        <v>251</v>
      </c>
      <c r="S144">
        <v>0.16700000000000001</v>
      </c>
    </row>
    <row r="145" spans="1:19" x14ac:dyDescent="0.25">
      <c r="A145" s="2" t="s">
        <v>33</v>
      </c>
      <c r="B145" s="2" t="s">
        <v>113</v>
      </c>
      <c r="C145" s="2" t="s">
        <v>288</v>
      </c>
      <c r="D145" s="4">
        <v>4</v>
      </c>
      <c r="E145" s="4">
        <v>3</v>
      </c>
      <c r="F145" s="4">
        <v>10</v>
      </c>
      <c r="G145" s="5">
        <v>1</v>
      </c>
      <c r="H145" s="5" t="s">
        <v>36</v>
      </c>
      <c r="I145" s="5"/>
      <c r="J145" s="5"/>
      <c r="K145" s="5">
        <v>1</v>
      </c>
      <c r="L145" s="5" t="s">
        <v>36</v>
      </c>
      <c r="M145" s="5" t="str">
        <f t="shared" si="7"/>
        <v>AmA010-1d1d</v>
      </c>
      <c r="N145" s="5">
        <f t="shared" si="6"/>
        <v>3</v>
      </c>
      <c r="O145" s="2" t="str">
        <f t="shared" si="8"/>
        <v>Pelo menos uma vez</v>
      </c>
      <c r="P145" t="s">
        <v>249</v>
      </c>
      <c r="Q145" t="s">
        <v>250</v>
      </c>
      <c r="R145" t="s">
        <v>251</v>
      </c>
      <c r="S145">
        <v>0</v>
      </c>
    </row>
    <row r="146" spans="1:19" x14ac:dyDescent="0.25">
      <c r="A146" s="2" t="s">
        <v>33</v>
      </c>
      <c r="B146" s="2" t="s">
        <v>113</v>
      </c>
      <c r="C146" s="2" t="s">
        <v>289</v>
      </c>
      <c r="D146" s="4">
        <v>4</v>
      </c>
      <c r="E146" s="4">
        <v>3</v>
      </c>
      <c r="F146" s="4">
        <v>11</v>
      </c>
      <c r="G146" s="5">
        <v>1</v>
      </c>
      <c r="H146" s="5" t="s">
        <v>36</v>
      </c>
      <c r="I146" s="5"/>
      <c r="J146" s="5"/>
      <c r="K146" s="5">
        <v>1</v>
      </c>
      <c r="L146" s="5" t="s">
        <v>36</v>
      </c>
      <c r="M146" s="5" t="str">
        <f t="shared" si="7"/>
        <v>AmA011-1d1d</v>
      </c>
      <c r="N146" s="5">
        <f t="shared" si="6"/>
        <v>3</v>
      </c>
      <c r="O146" s="2" t="str">
        <f t="shared" si="8"/>
        <v>Pelo menos uma vez</v>
      </c>
      <c r="P146" t="s">
        <v>249</v>
      </c>
      <c r="Q146" t="s">
        <v>290</v>
      </c>
      <c r="R146" t="s">
        <v>291</v>
      </c>
      <c r="S146">
        <v>0.111</v>
      </c>
    </row>
    <row r="147" spans="1:19" x14ac:dyDescent="0.25">
      <c r="A147" s="2" t="s">
        <v>33</v>
      </c>
      <c r="B147" s="2" t="s">
        <v>113</v>
      </c>
      <c r="C147" s="2" t="s">
        <v>292</v>
      </c>
      <c r="D147" s="4">
        <v>4</v>
      </c>
      <c r="E147" s="4">
        <v>3</v>
      </c>
      <c r="F147" s="4">
        <v>12</v>
      </c>
      <c r="G147" s="5">
        <v>1</v>
      </c>
      <c r="H147" s="5" t="s">
        <v>36</v>
      </c>
      <c r="I147" s="5">
        <v>2</v>
      </c>
      <c r="J147" s="5" t="s">
        <v>36</v>
      </c>
      <c r="K147" s="5">
        <v>21</v>
      </c>
      <c r="L147" s="5" t="s">
        <v>36</v>
      </c>
      <c r="M147" s="5" t="str">
        <f t="shared" si="7"/>
        <v>AmA012-1d21d</v>
      </c>
      <c r="N147" s="5">
        <f t="shared" si="6"/>
        <v>3</v>
      </c>
      <c r="O147" s="2" t="str">
        <f t="shared" si="8"/>
        <v>Uma vez por dia, a cada 2 dias, por um período de 21 dias</v>
      </c>
      <c r="P147" t="s">
        <v>249</v>
      </c>
      <c r="Q147" t="s">
        <v>250</v>
      </c>
      <c r="R147" t="s">
        <v>251</v>
      </c>
      <c r="S147">
        <v>0</v>
      </c>
    </row>
    <row r="148" spans="1:19" x14ac:dyDescent="0.25">
      <c r="A148" s="2" t="s">
        <v>33</v>
      </c>
      <c r="B148" s="2" t="s">
        <v>113</v>
      </c>
      <c r="C148" s="2" t="s">
        <v>293</v>
      </c>
      <c r="D148" s="4">
        <v>4</v>
      </c>
      <c r="E148" s="4">
        <v>3</v>
      </c>
      <c r="F148" s="4">
        <v>13</v>
      </c>
      <c r="G148" s="5">
        <v>1</v>
      </c>
      <c r="H148" s="5" t="s">
        <v>36</v>
      </c>
      <c r="I148" s="5"/>
      <c r="J148" s="5"/>
      <c r="K148" s="5">
        <v>1</v>
      </c>
      <c r="L148" s="5" t="s">
        <v>36</v>
      </c>
      <c r="M148" s="5" t="str">
        <f t="shared" si="7"/>
        <v>AmA013-1d1d</v>
      </c>
      <c r="N148" s="5">
        <f t="shared" si="6"/>
        <v>3</v>
      </c>
      <c r="O148" s="2" t="str">
        <f t="shared" si="8"/>
        <v>Pelo menos uma vez</v>
      </c>
      <c r="P148" t="s">
        <v>249</v>
      </c>
      <c r="Q148" t="s">
        <v>250</v>
      </c>
      <c r="R148" t="s">
        <v>251</v>
      </c>
      <c r="S148">
        <v>0.14299999999999999</v>
      </c>
    </row>
    <row r="149" spans="1:19" x14ac:dyDescent="0.25">
      <c r="A149" s="2" t="s">
        <v>33</v>
      </c>
      <c r="B149" s="2" t="s">
        <v>113</v>
      </c>
      <c r="C149" s="2" t="s">
        <v>294</v>
      </c>
      <c r="D149" s="4">
        <v>4</v>
      </c>
      <c r="E149" s="4">
        <v>3</v>
      </c>
      <c r="F149" s="4">
        <v>14</v>
      </c>
      <c r="G149" s="5">
        <v>1</v>
      </c>
      <c r="H149" s="5" t="s">
        <v>36</v>
      </c>
      <c r="I149" s="5"/>
      <c r="J149" s="5"/>
      <c r="K149" s="5">
        <v>1</v>
      </c>
      <c r="L149" s="5" t="s">
        <v>36</v>
      </c>
      <c r="M149" s="5" t="str">
        <f t="shared" si="7"/>
        <v>AmA014-1d1d</v>
      </c>
      <c r="N149" s="5">
        <f t="shared" si="6"/>
        <v>3</v>
      </c>
      <c r="O149" s="2" t="str">
        <f t="shared" si="8"/>
        <v>Pelo menos uma vez</v>
      </c>
      <c r="P149" t="s">
        <v>249</v>
      </c>
      <c r="Q149" t="s">
        <v>250</v>
      </c>
      <c r="R149" t="s">
        <v>251</v>
      </c>
      <c r="S149">
        <v>0</v>
      </c>
    </row>
    <row r="150" spans="1:19" x14ac:dyDescent="0.25">
      <c r="A150" s="2" t="s">
        <v>33</v>
      </c>
      <c r="B150" s="2" t="s">
        <v>113</v>
      </c>
      <c r="C150" s="2" t="s">
        <v>295</v>
      </c>
      <c r="D150" s="4">
        <v>4</v>
      </c>
      <c r="E150" s="4">
        <v>3</v>
      </c>
      <c r="F150" s="4">
        <v>15</v>
      </c>
      <c r="G150" s="5">
        <v>1</v>
      </c>
      <c r="H150" s="5" t="s">
        <v>36</v>
      </c>
      <c r="I150" s="5">
        <v>7</v>
      </c>
      <c r="J150" s="5" t="s">
        <v>36</v>
      </c>
      <c r="K150" s="5">
        <v>60</v>
      </c>
      <c r="L150" s="5" t="s">
        <v>36</v>
      </c>
      <c r="M150" s="5" t="str">
        <f t="shared" si="7"/>
        <v>AmA015-1d60d</v>
      </c>
      <c r="N150" s="5">
        <f t="shared" si="6"/>
        <v>3</v>
      </c>
      <c r="O150" s="2" t="str">
        <f t="shared" si="8"/>
        <v>Uma vez por dia, a cada 7 dias, por um período de 60 dias</v>
      </c>
      <c r="P150" t="s">
        <v>249</v>
      </c>
      <c r="Q150" t="s">
        <v>250</v>
      </c>
      <c r="R150" t="s">
        <v>251</v>
      </c>
      <c r="S150">
        <v>0</v>
      </c>
    </row>
    <row r="151" spans="1:19" x14ac:dyDescent="0.25">
      <c r="A151" s="2" t="s">
        <v>34</v>
      </c>
      <c r="B151" s="2" t="s">
        <v>57</v>
      </c>
      <c r="C151" s="2" t="s">
        <v>296</v>
      </c>
      <c r="D151" s="3">
        <v>5</v>
      </c>
      <c r="E151" s="3">
        <v>1</v>
      </c>
      <c r="F151" s="3">
        <v>1</v>
      </c>
      <c r="G151" s="2"/>
      <c r="H151" s="2"/>
      <c r="I151" s="2"/>
      <c r="J151" s="2"/>
      <c r="K151" s="2"/>
      <c r="L151" s="2"/>
      <c r="M151" s="5" t="str">
        <f>LEFT(A151,2)&amp;LEFT(B151,1)&amp;TEXT(F151,"000")&amp;"-"&amp;IF(
  AND(G151="",H151="",K151="",L151=""),
  "0d0d",
  TEXT(G151,"0")&amp;LOWER(H151)&amp;TEXT(K151,"0")&amp;LOWER(L151)
)</f>
        <v>CoB001-0d0d</v>
      </c>
      <c r="N151" s="5">
        <f t="shared" si="6"/>
        <v>1</v>
      </c>
      <c r="O151" s="2" t="str">
        <f>IF(
  AND(G151="",H151="",I151="",J151="",K151="",L151=""),
  "Fique atento para a primeira oportunidade que surgir",
  IF(AND(G151=0,LOWER(H151)="d",K151=0,LOWER(L151)="d"),
     "Fique atento para a primeira oportunidade que surgir",
     IF(AND(G151=1,LOWER(H151)="d",K151=1,LOWER(L151)="d"),
        "Pelo menos uma vez",
        IF(G151=0,"O dia inteiro",IF(G151=1,"Uma vez",TEXT(G151,"0")&amp;" vezes")&amp;" por "&amp;IF(LOWER(H151)="d","dia","semana"))
        &amp;IF(AND(ISNUMBER(I151),I151&gt;0),", a cada "&amp;TEXT(I151,"0")&amp;" "&amp;IF(I151=1,IF(LOWER(J151)="d","dia","semana"),IF(LOWER(J151)="d","dias","semanas"))&amp;",","")
        &amp;" por um período de "&amp;TEXT(K151,"0")&amp;" "&amp;IF(K151=1,IF(LOWER(L151)="d","dia","semana"),IF(LOWER(L151)="d","dias","semanas"))
     )
  )
)</f>
        <v>Fique atento para a primeira oportunidade que surgir</v>
      </c>
      <c r="P151" t="s">
        <v>297</v>
      </c>
      <c r="Q151" t="s">
        <v>298</v>
      </c>
      <c r="R151" t="s">
        <v>299</v>
      </c>
      <c r="S151">
        <v>0</v>
      </c>
    </row>
    <row r="152" spans="1:19" x14ac:dyDescent="0.25">
      <c r="A152" s="2" t="s">
        <v>34</v>
      </c>
      <c r="B152" s="2" t="s">
        <v>57</v>
      </c>
      <c r="C152" s="2" t="s">
        <v>300</v>
      </c>
      <c r="D152" s="3">
        <v>5</v>
      </c>
      <c r="E152" s="3">
        <v>1</v>
      </c>
      <c r="F152" s="3">
        <v>2</v>
      </c>
      <c r="G152" s="2"/>
      <c r="H152" s="2"/>
      <c r="I152" s="2"/>
      <c r="J152" s="2"/>
      <c r="K152" s="2"/>
      <c r="L152" s="2"/>
      <c r="M152" s="5" t="str">
        <f>LEFT(A152,2)&amp;LEFT(B152,1)&amp;TEXT(F152,"000")&amp;"-"&amp;IF(
  AND(G152="",H152="",K152="",L152=""),
  "0d0d",
  TEXT(G152,"0")&amp;LOWER(H152)&amp;TEXT(K152,"0")&amp;LOWER(L152)
)</f>
        <v>CoB002-0d0d</v>
      </c>
      <c r="N152" s="5">
        <f t="shared" si="6"/>
        <v>1</v>
      </c>
      <c r="O152" s="2" t="str">
        <f>IF(
  AND(G152="",H152="",I152="",J152="",K152="",L152=""),
  "Fique atento para a primeira oportunidade que surgir",
  IF(AND(G152=0,LOWER(H152)="d",K152=0,LOWER(L152)="d"),
     "Fique atento para a primeira oportunidade que surgir",
     IF(AND(G152=1,LOWER(H152)="d",K152=1,LOWER(L152)="d"),
        "Pelo menos uma vez",
        IF(G152=0,"O dia inteiro",IF(G152=1,"Uma vez",TEXT(G152,"0")&amp;" vezes")&amp;" por "&amp;IF(LOWER(H152)="d","dia","semana"))
        &amp;IF(AND(ISNUMBER(I152),I152&gt;0),", a cada "&amp;TEXT(I152,"0")&amp;" "&amp;IF(I152=1,IF(LOWER(J152)="d","dia","semana"),IF(LOWER(J152)="d","dias","semanas"))&amp;",","")
        &amp;" por um período de "&amp;TEXT(K152,"0")&amp;" "&amp;IF(K152=1,IF(LOWER(L152)="d","dia","semana"),IF(LOWER(L152)="d","dias","semanas"))
     )
  )
)</f>
        <v>Fique atento para a primeira oportunidade que surgir</v>
      </c>
      <c r="P152" t="s">
        <v>297</v>
      </c>
      <c r="Q152" t="s">
        <v>301</v>
      </c>
      <c r="R152" t="s">
        <v>302</v>
      </c>
      <c r="S152">
        <v>0.25</v>
      </c>
    </row>
    <row r="153" spans="1:19" x14ac:dyDescent="0.25">
      <c r="A153" s="2" t="s">
        <v>34</v>
      </c>
      <c r="B153" s="2" t="s">
        <v>57</v>
      </c>
      <c r="C153" s="2" t="s">
        <v>303</v>
      </c>
      <c r="D153" s="3">
        <v>5</v>
      </c>
      <c r="E153" s="3">
        <v>1</v>
      </c>
      <c r="F153" s="3">
        <v>3</v>
      </c>
      <c r="G153" s="2"/>
      <c r="H153" s="2"/>
      <c r="I153" s="2"/>
      <c r="J153" s="2"/>
      <c r="K153" s="2"/>
      <c r="L153" s="2"/>
      <c r="M153" s="5" t="str">
        <f t="shared" ref="M153:M187" si="9">LEFT(A153,2)&amp;LEFT(B153,1)&amp;TEXT(F153,"000")&amp;"-"&amp;IF(
AND(G153="",H153="",K153="",L153=""),
"0d0d",
TEXT(G153,"0")&amp;LOWER(H153)&amp;TEXT(K153,"0")&amp;LOWER(L153)
)</f>
        <v>CoB003-0d0d</v>
      </c>
      <c r="N153" s="5">
        <f t="shared" si="6"/>
        <v>1</v>
      </c>
      <c r="O153" s="2" t="str">
        <f t="shared" ref="O153:O187" si="10">IF(
AND(G153="",H153="",I153="",J153="",K153="",L153=""),
"Fique atento para a primeira oportunidade que surgir",
IF(AND(G153=0,LOWER(H153)="d",K153=0,LOWER(L153)="d"),
"Fique atento para a primeira oportunidade que surgir",
IF(AND(G153=1,LOWER(H153)="d",K153=1,LOWER(L153)="d"),
"Pelo menos uma vez",
IF(G153=0,"O dia inteiro",IF(G153=1,"Uma vez",TEXT(G153,"0")&amp;" vezes")&amp;" por "&amp;IF(LOWER(H153)="d","dia","semana"))
&amp;IF(AND(ISNUMBER(I153),I153&gt;0),", a cada "&amp;TEXT(I153,"0")&amp;" "&amp;IF(I153=1,IF(LOWER(J153)="d","dia","semana"),IF(LOWER(J153)="d","dias","semanas"))&amp;",","")
&amp;" por um período de "&amp;TEXT(K153,"0")&amp;" "&amp;IF(K153=1,IF(LOWER(L153)="d","dia","semana"),IF(LOWER(L153)="d","dias","semanas"))
)
)
)</f>
        <v>Fique atento para a primeira oportunidade que surgir</v>
      </c>
      <c r="P153" t="s">
        <v>297</v>
      </c>
      <c r="Q153" t="s">
        <v>304</v>
      </c>
      <c r="R153" t="s">
        <v>305</v>
      </c>
      <c r="S153">
        <v>0.111</v>
      </c>
    </row>
    <row r="154" spans="1:19" x14ac:dyDescent="0.25">
      <c r="A154" s="2" t="s">
        <v>34</v>
      </c>
      <c r="B154" s="2" t="s">
        <v>57</v>
      </c>
      <c r="C154" s="2" t="s">
        <v>306</v>
      </c>
      <c r="D154" s="3">
        <v>5</v>
      </c>
      <c r="E154" s="3">
        <v>1</v>
      </c>
      <c r="F154" s="3">
        <v>4</v>
      </c>
      <c r="G154" s="2"/>
      <c r="H154" s="2"/>
      <c r="I154" s="2"/>
      <c r="J154" s="2"/>
      <c r="K154" s="2"/>
      <c r="L154" s="2"/>
      <c r="M154" s="5" t="str">
        <f t="shared" si="9"/>
        <v>CoB004-0d0d</v>
      </c>
      <c r="N154" s="5">
        <f t="shared" si="6"/>
        <v>1</v>
      </c>
      <c r="O154" s="2" t="str">
        <f t="shared" si="10"/>
        <v>Fique atento para a primeira oportunidade que surgir</v>
      </c>
      <c r="P154" t="s">
        <v>297</v>
      </c>
      <c r="Q154" t="s">
        <v>298</v>
      </c>
      <c r="R154" t="s">
        <v>299</v>
      </c>
      <c r="S154">
        <v>0</v>
      </c>
    </row>
    <row r="155" spans="1:19" x14ac:dyDescent="0.25">
      <c r="A155" s="2" t="s">
        <v>34</v>
      </c>
      <c r="B155" s="2" t="s">
        <v>57</v>
      </c>
      <c r="C155" s="2" t="s">
        <v>307</v>
      </c>
      <c r="D155" s="3">
        <v>5</v>
      </c>
      <c r="E155" s="3">
        <v>1</v>
      </c>
      <c r="F155" s="3">
        <v>5</v>
      </c>
      <c r="G155" s="2"/>
      <c r="H155" s="2"/>
      <c r="I155" s="2"/>
      <c r="J155" s="2"/>
      <c r="K155" s="2"/>
      <c r="L155" s="2"/>
      <c r="M155" s="5" t="str">
        <f t="shared" si="9"/>
        <v>CoB005-0d0d</v>
      </c>
      <c r="N155" s="5">
        <f t="shared" si="6"/>
        <v>1</v>
      </c>
      <c r="O155" s="2" t="str">
        <f t="shared" si="10"/>
        <v>Fique atento para a primeira oportunidade que surgir</v>
      </c>
      <c r="P155" t="s">
        <v>297</v>
      </c>
      <c r="Q155" t="s">
        <v>298</v>
      </c>
      <c r="R155" t="s">
        <v>299</v>
      </c>
      <c r="S155">
        <v>0</v>
      </c>
    </row>
    <row r="156" spans="1:19" x14ac:dyDescent="0.25">
      <c r="A156" s="2" t="s">
        <v>34</v>
      </c>
      <c r="B156" s="2" t="s">
        <v>57</v>
      </c>
      <c r="C156" s="2" t="s">
        <v>308</v>
      </c>
      <c r="D156" s="3">
        <v>5</v>
      </c>
      <c r="E156" s="3">
        <v>1</v>
      </c>
      <c r="F156" s="3">
        <v>6</v>
      </c>
      <c r="G156" s="2"/>
      <c r="H156" s="2"/>
      <c r="I156" s="2"/>
      <c r="J156" s="2"/>
      <c r="K156" s="2"/>
      <c r="L156" s="2"/>
      <c r="M156" s="5" t="str">
        <f t="shared" si="9"/>
        <v>CoB006-0d0d</v>
      </c>
      <c r="N156" s="5">
        <f t="shared" si="6"/>
        <v>1</v>
      </c>
      <c r="O156" s="2" t="str">
        <f t="shared" si="10"/>
        <v>Fique atento para a primeira oportunidade que surgir</v>
      </c>
      <c r="P156" t="s">
        <v>297</v>
      </c>
      <c r="Q156" t="s">
        <v>298</v>
      </c>
      <c r="R156" t="s">
        <v>299</v>
      </c>
      <c r="S156">
        <v>0</v>
      </c>
    </row>
    <row r="157" spans="1:19" x14ac:dyDescent="0.25">
      <c r="A157" s="2" t="s">
        <v>34</v>
      </c>
      <c r="B157" s="2" t="s">
        <v>57</v>
      </c>
      <c r="C157" s="2" t="s">
        <v>309</v>
      </c>
      <c r="D157" s="3">
        <v>5</v>
      </c>
      <c r="E157" s="3">
        <v>1</v>
      </c>
      <c r="F157" s="3">
        <v>7</v>
      </c>
      <c r="G157" s="2"/>
      <c r="H157" s="2"/>
      <c r="I157" s="2"/>
      <c r="J157" s="2"/>
      <c r="K157" s="2"/>
      <c r="L157" s="2"/>
      <c r="M157" s="5" t="str">
        <f t="shared" si="9"/>
        <v>CoB007-0d0d</v>
      </c>
      <c r="N157" s="5">
        <f t="shared" si="6"/>
        <v>1</v>
      </c>
      <c r="O157" s="2" t="str">
        <f t="shared" si="10"/>
        <v>Fique atento para a primeira oportunidade que surgir</v>
      </c>
      <c r="P157" t="s">
        <v>297</v>
      </c>
      <c r="Q157" t="s">
        <v>298</v>
      </c>
      <c r="R157" t="s">
        <v>299</v>
      </c>
      <c r="S157">
        <v>0</v>
      </c>
    </row>
    <row r="158" spans="1:19" x14ac:dyDescent="0.25">
      <c r="A158" s="2" t="s">
        <v>34</v>
      </c>
      <c r="B158" s="2" t="s">
        <v>57</v>
      </c>
      <c r="C158" s="2" t="s">
        <v>310</v>
      </c>
      <c r="D158" s="3">
        <v>5</v>
      </c>
      <c r="E158" s="3">
        <v>1</v>
      </c>
      <c r="F158" s="3">
        <v>8</v>
      </c>
      <c r="G158" s="2"/>
      <c r="H158" s="2"/>
      <c r="I158" s="2"/>
      <c r="J158" s="2"/>
      <c r="K158" s="2"/>
      <c r="L158" s="2"/>
      <c r="M158" s="5" t="str">
        <f t="shared" si="9"/>
        <v>CoB008-0d0d</v>
      </c>
      <c r="N158" s="5">
        <f t="shared" si="6"/>
        <v>1</v>
      </c>
      <c r="O158" s="2" t="str">
        <f t="shared" si="10"/>
        <v>Fique atento para a primeira oportunidade que surgir</v>
      </c>
      <c r="P158" t="s">
        <v>297</v>
      </c>
      <c r="Q158" t="s">
        <v>298</v>
      </c>
      <c r="R158" t="s">
        <v>299</v>
      </c>
      <c r="S158">
        <v>0.125</v>
      </c>
    </row>
    <row r="159" spans="1:19" x14ac:dyDescent="0.25">
      <c r="A159" s="2" t="s">
        <v>34</v>
      </c>
      <c r="B159" s="2" t="s">
        <v>57</v>
      </c>
      <c r="C159" s="2" t="s">
        <v>311</v>
      </c>
      <c r="D159" s="3">
        <v>5</v>
      </c>
      <c r="E159" s="3">
        <v>1</v>
      </c>
      <c r="F159" s="3">
        <v>9</v>
      </c>
      <c r="G159" s="2"/>
      <c r="H159" s="2"/>
      <c r="I159" s="2"/>
      <c r="J159" s="2"/>
      <c r="K159" s="2"/>
      <c r="L159" s="2"/>
      <c r="M159" s="5" t="str">
        <f t="shared" si="9"/>
        <v>CoB009-0d0d</v>
      </c>
      <c r="N159" s="5">
        <f t="shared" si="6"/>
        <v>1</v>
      </c>
      <c r="O159" s="2" t="str">
        <f t="shared" si="10"/>
        <v>Fique atento para a primeira oportunidade que surgir</v>
      </c>
      <c r="P159" t="s">
        <v>297</v>
      </c>
      <c r="Q159" t="s">
        <v>298</v>
      </c>
      <c r="R159" t="s">
        <v>299</v>
      </c>
      <c r="S159">
        <v>0</v>
      </c>
    </row>
    <row r="160" spans="1:19" x14ac:dyDescent="0.25">
      <c r="A160" s="2" t="s">
        <v>34</v>
      </c>
      <c r="B160" s="2" t="s">
        <v>57</v>
      </c>
      <c r="C160" s="2" t="s">
        <v>312</v>
      </c>
      <c r="D160" s="3">
        <v>5</v>
      </c>
      <c r="E160" s="3">
        <v>1</v>
      </c>
      <c r="F160" s="3">
        <v>10</v>
      </c>
      <c r="G160" s="2"/>
      <c r="H160" s="2"/>
      <c r="I160" s="2"/>
      <c r="J160" s="2"/>
      <c r="K160" s="2"/>
      <c r="L160" s="2"/>
      <c r="M160" s="5" t="str">
        <f t="shared" si="9"/>
        <v>CoB010-0d0d</v>
      </c>
      <c r="N160" s="5">
        <f t="shared" si="6"/>
        <v>1</v>
      </c>
      <c r="O160" s="2" t="str">
        <f t="shared" si="10"/>
        <v>Fique atento para a primeira oportunidade que surgir</v>
      </c>
      <c r="P160" t="s">
        <v>297</v>
      </c>
      <c r="Q160" t="s">
        <v>298</v>
      </c>
      <c r="R160" t="s">
        <v>299</v>
      </c>
      <c r="S160">
        <v>0</v>
      </c>
    </row>
    <row r="161" spans="1:19" x14ac:dyDescent="0.25">
      <c r="A161" s="2" t="s">
        <v>34</v>
      </c>
      <c r="B161" s="2" t="s">
        <v>86</v>
      </c>
      <c r="C161" s="2" t="s">
        <v>313</v>
      </c>
      <c r="D161" s="3">
        <v>5</v>
      </c>
      <c r="E161" s="3">
        <v>2</v>
      </c>
      <c r="F161" s="3">
        <v>1</v>
      </c>
      <c r="G161" s="2"/>
      <c r="H161" s="2"/>
      <c r="I161" s="2"/>
      <c r="J161" s="2"/>
      <c r="K161" s="2"/>
      <c r="L161" s="2"/>
      <c r="M161" s="5" t="str">
        <f t="shared" si="9"/>
        <v>CoD001-0d0d</v>
      </c>
      <c r="N161" s="5">
        <f t="shared" si="6"/>
        <v>2</v>
      </c>
      <c r="O161" s="2" t="str">
        <f t="shared" si="10"/>
        <v>Fique atento para a primeira oportunidade que surgir</v>
      </c>
      <c r="P161" t="s">
        <v>297</v>
      </c>
      <c r="Q161" t="s">
        <v>298</v>
      </c>
      <c r="R161" t="s">
        <v>299</v>
      </c>
      <c r="S161">
        <v>0.33300000000000002</v>
      </c>
    </row>
    <row r="162" spans="1:19" x14ac:dyDescent="0.25">
      <c r="A162" s="2" t="s">
        <v>34</v>
      </c>
      <c r="B162" s="2" t="s">
        <v>86</v>
      </c>
      <c r="C162" s="2" t="s">
        <v>314</v>
      </c>
      <c r="D162" s="3">
        <v>5</v>
      </c>
      <c r="E162" s="3">
        <v>2</v>
      </c>
      <c r="F162" s="3">
        <v>2</v>
      </c>
      <c r="G162" s="2"/>
      <c r="H162" s="2"/>
      <c r="I162" s="2"/>
      <c r="J162" s="2"/>
      <c r="K162" s="2"/>
      <c r="L162" s="2"/>
      <c r="M162" s="5" t="str">
        <f t="shared" si="9"/>
        <v>CoD002-0d0d</v>
      </c>
      <c r="N162" s="5">
        <f t="shared" si="6"/>
        <v>2</v>
      </c>
      <c r="O162" s="2" t="str">
        <f t="shared" si="10"/>
        <v>Fique atento para a primeira oportunidade que surgir</v>
      </c>
      <c r="P162" t="s">
        <v>297</v>
      </c>
      <c r="Q162" t="s">
        <v>298</v>
      </c>
      <c r="R162" t="s">
        <v>299</v>
      </c>
      <c r="S162">
        <v>0</v>
      </c>
    </row>
    <row r="163" spans="1:19" x14ac:dyDescent="0.25">
      <c r="A163" s="2" t="s">
        <v>34</v>
      </c>
      <c r="B163" s="2" t="s">
        <v>86</v>
      </c>
      <c r="C163" s="2" t="s">
        <v>315</v>
      </c>
      <c r="D163" s="3">
        <v>5</v>
      </c>
      <c r="E163" s="3">
        <v>2</v>
      </c>
      <c r="F163" s="3">
        <v>3</v>
      </c>
      <c r="G163" s="2"/>
      <c r="H163" s="2"/>
      <c r="I163" s="2"/>
      <c r="J163" s="2"/>
      <c r="K163" s="2"/>
      <c r="L163" s="2"/>
      <c r="M163" s="5" t="str">
        <f t="shared" si="9"/>
        <v>CoD003-0d0d</v>
      </c>
      <c r="N163" s="5">
        <f t="shared" si="6"/>
        <v>2</v>
      </c>
      <c r="O163" s="2" t="str">
        <f t="shared" si="10"/>
        <v>Fique atento para a primeira oportunidade que surgir</v>
      </c>
      <c r="P163" t="s">
        <v>297</v>
      </c>
      <c r="Q163" t="s">
        <v>304</v>
      </c>
      <c r="R163" t="s">
        <v>305</v>
      </c>
      <c r="S163">
        <v>0.1</v>
      </c>
    </row>
    <row r="164" spans="1:19" x14ac:dyDescent="0.25">
      <c r="A164" s="2" t="s">
        <v>34</v>
      </c>
      <c r="B164" s="2" t="s">
        <v>86</v>
      </c>
      <c r="C164" s="2" t="s">
        <v>316</v>
      </c>
      <c r="D164" s="3">
        <v>5</v>
      </c>
      <c r="E164" s="3">
        <v>2</v>
      </c>
      <c r="F164" s="3">
        <v>4</v>
      </c>
      <c r="G164" s="2"/>
      <c r="H164" s="2"/>
      <c r="I164" s="2"/>
      <c r="J164" s="2"/>
      <c r="K164" s="2"/>
      <c r="L164" s="2"/>
      <c r="M164" s="5" t="str">
        <f t="shared" si="9"/>
        <v>CoD004-0d0d</v>
      </c>
      <c r="N164" s="5">
        <f t="shared" si="6"/>
        <v>2</v>
      </c>
      <c r="O164" s="2" t="str">
        <f t="shared" si="10"/>
        <v>Fique atento para a primeira oportunidade que surgir</v>
      </c>
      <c r="P164" t="s">
        <v>297</v>
      </c>
      <c r="Q164" t="s">
        <v>298</v>
      </c>
      <c r="R164" t="s">
        <v>299</v>
      </c>
      <c r="S164">
        <v>0.125</v>
      </c>
    </row>
    <row r="165" spans="1:19" x14ac:dyDescent="0.25">
      <c r="A165" s="2" t="s">
        <v>34</v>
      </c>
      <c r="B165" s="2" t="s">
        <v>86</v>
      </c>
      <c r="C165" s="2" t="s">
        <v>317</v>
      </c>
      <c r="D165" s="3">
        <v>5</v>
      </c>
      <c r="E165" s="3">
        <v>2</v>
      </c>
      <c r="F165" s="3">
        <v>5</v>
      </c>
      <c r="G165" s="2"/>
      <c r="H165" s="2"/>
      <c r="I165" s="2"/>
      <c r="J165" s="2"/>
      <c r="K165" s="2"/>
      <c r="L165" s="2"/>
      <c r="M165" s="5" t="str">
        <f t="shared" si="9"/>
        <v>CoD005-0d0d</v>
      </c>
      <c r="N165" s="5">
        <f t="shared" si="6"/>
        <v>2</v>
      </c>
      <c r="O165" s="2" t="str">
        <f t="shared" si="10"/>
        <v>Fique atento para a primeira oportunidade que surgir</v>
      </c>
      <c r="P165" t="s">
        <v>297</v>
      </c>
      <c r="Q165" t="s">
        <v>298</v>
      </c>
      <c r="R165" t="s">
        <v>299</v>
      </c>
      <c r="S165">
        <v>0</v>
      </c>
    </row>
    <row r="166" spans="1:19" x14ac:dyDescent="0.25">
      <c r="A166" s="2" t="s">
        <v>34</v>
      </c>
      <c r="B166" s="2" t="s">
        <v>86</v>
      </c>
      <c r="C166" s="2" t="s">
        <v>318</v>
      </c>
      <c r="D166" s="3">
        <v>5</v>
      </c>
      <c r="E166" s="3">
        <v>2</v>
      </c>
      <c r="F166" s="3">
        <v>6</v>
      </c>
      <c r="G166" s="2"/>
      <c r="H166" s="2"/>
      <c r="I166" s="2"/>
      <c r="J166" s="2"/>
      <c r="K166" s="2"/>
      <c r="L166" s="2"/>
      <c r="M166" s="5" t="str">
        <f t="shared" si="9"/>
        <v>CoD006-0d0d</v>
      </c>
      <c r="N166" s="5">
        <f t="shared" si="6"/>
        <v>2</v>
      </c>
      <c r="O166" s="2" t="str">
        <f t="shared" si="10"/>
        <v>Fique atento para a primeira oportunidade que surgir</v>
      </c>
      <c r="P166" t="s">
        <v>297</v>
      </c>
      <c r="Q166" t="s">
        <v>298</v>
      </c>
      <c r="R166" t="s">
        <v>299</v>
      </c>
      <c r="S166">
        <v>0</v>
      </c>
    </row>
    <row r="167" spans="1:19" x14ac:dyDescent="0.25">
      <c r="A167" s="2" t="s">
        <v>34</v>
      </c>
      <c r="B167" s="2" t="s">
        <v>86</v>
      </c>
      <c r="C167" s="2" t="s">
        <v>319</v>
      </c>
      <c r="D167" s="3">
        <v>5</v>
      </c>
      <c r="E167" s="3">
        <v>2</v>
      </c>
      <c r="F167" s="3">
        <v>7</v>
      </c>
      <c r="G167" s="2"/>
      <c r="H167" s="2"/>
      <c r="I167" s="2"/>
      <c r="J167" s="2"/>
      <c r="K167" s="2"/>
      <c r="L167" s="2"/>
      <c r="M167" s="5" t="str">
        <f t="shared" si="9"/>
        <v>CoD007-0d0d</v>
      </c>
      <c r="N167" s="5">
        <f t="shared" si="6"/>
        <v>2</v>
      </c>
      <c r="O167" s="2" t="str">
        <f t="shared" si="10"/>
        <v>Fique atento para a primeira oportunidade que surgir</v>
      </c>
      <c r="P167" t="s">
        <v>297</v>
      </c>
      <c r="Q167" t="s">
        <v>298</v>
      </c>
      <c r="R167" t="s">
        <v>299</v>
      </c>
      <c r="S167">
        <v>0</v>
      </c>
    </row>
    <row r="168" spans="1:19" x14ac:dyDescent="0.25">
      <c r="A168" s="2" t="s">
        <v>34</v>
      </c>
      <c r="B168" s="2" t="s">
        <v>86</v>
      </c>
      <c r="C168" s="2" t="s">
        <v>320</v>
      </c>
      <c r="D168" s="3">
        <v>5</v>
      </c>
      <c r="E168" s="3">
        <v>2</v>
      </c>
      <c r="F168" s="3">
        <v>8</v>
      </c>
      <c r="G168" s="2"/>
      <c r="H168" s="2"/>
      <c r="I168" s="2"/>
      <c r="J168" s="2"/>
      <c r="K168" s="2"/>
      <c r="L168" s="2"/>
      <c r="M168" s="5" t="str">
        <f t="shared" si="9"/>
        <v>CoD008-0d0d</v>
      </c>
      <c r="N168" s="5">
        <f t="shared" si="6"/>
        <v>2</v>
      </c>
      <c r="O168" s="2" t="str">
        <f t="shared" si="10"/>
        <v>Fique atento para a primeira oportunidade que surgir</v>
      </c>
      <c r="P168" t="s">
        <v>297</v>
      </c>
      <c r="Q168" t="s">
        <v>304</v>
      </c>
      <c r="R168" t="s">
        <v>305</v>
      </c>
      <c r="S168">
        <v>0.42899999999999999</v>
      </c>
    </row>
    <row r="169" spans="1:19" x14ac:dyDescent="0.25">
      <c r="A169" s="2" t="s">
        <v>34</v>
      </c>
      <c r="B169" s="2" t="s">
        <v>86</v>
      </c>
      <c r="C169" s="2" t="s">
        <v>321</v>
      </c>
      <c r="D169" s="3">
        <v>5</v>
      </c>
      <c r="E169" s="3">
        <v>2</v>
      </c>
      <c r="F169" s="3">
        <v>9</v>
      </c>
      <c r="G169" s="2"/>
      <c r="H169" s="2"/>
      <c r="I169" s="2"/>
      <c r="J169" s="2"/>
      <c r="K169" s="2"/>
      <c r="L169" s="2"/>
      <c r="M169" s="5" t="str">
        <f t="shared" si="9"/>
        <v>CoD009-0d0d</v>
      </c>
      <c r="N169" s="5">
        <f t="shared" si="6"/>
        <v>2</v>
      </c>
      <c r="O169" s="2" t="str">
        <f t="shared" si="10"/>
        <v>Fique atento para a primeira oportunidade que surgir</v>
      </c>
      <c r="P169" t="s">
        <v>297</v>
      </c>
      <c r="Q169" t="s">
        <v>298</v>
      </c>
      <c r="R169" t="s">
        <v>299</v>
      </c>
      <c r="S169">
        <v>0.125</v>
      </c>
    </row>
    <row r="170" spans="1:19" x14ac:dyDescent="0.25">
      <c r="A170" s="2" t="s">
        <v>34</v>
      </c>
      <c r="B170" s="2" t="s">
        <v>86</v>
      </c>
      <c r="C170" s="2" t="s">
        <v>322</v>
      </c>
      <c r="D170" s="3">
        <v>5</v>
      </c>
      <c r="E170" s="3">
        <v>2</v>
      </c>
      <c r="F170" s="3">
        <v>10</v>
      </c>
      <c r="G170" s="2"/>
      <c r="H170" s="2"/>
      <c r="I170" s="2"/>
      <c r="J170" s="2"/>
      <c r="K170" s="2"/>
      <c r="L170" s="2"/>
      <c r="M170" s="5" t="str">
        <f t="shared" si="9"/>
        <v>CoD010-0d0d</v>
      </c>
      <c r="N170" s="5">
        <f t="shared" si="6"/>
        <v>2</v>
      </c>
      <c r="O170" s="2" t="str">
        <f t="shared" si="10"/>
        <v>Fique atento para a primeira oportunidade que surgir</v>
      </c>
      <c r="P170" t="s">
        <v>297</v>
      </c>
      <c r="Q170" t="s">
        <v>298</v>
      </c>
      <c r="R170" t="s">
        <v>299</v>
      </c>
      <c r="S170">
        <v>0</v>
      </c>
    </row>
    <row r="171" spans="1:19" x14ac:dyDescent="0.25">
      <c r="A171" s="2" t="s">
        <v>34</v>
      </c>
      <c r="B171" s="2" t="s">
        <v>86</v>
      </c>
      <c r="C171" s="2" t="s">
        <v>323</v>
      </c>
      <c r="D171" s="3">
        <v>5</v>
      </c>
      <c r="E171" s="3">
        <v>2</v>
      </c>
      <c r="F171" s="3">
        <v>11</v>
      </c>
      <c r="G171" s="2"/>
      <c r="H171" s="2"/>
      <c r="I171" s="2"/>
      <c r="J171" s="2"/>
      <c r="K171" s="2"/>
      <c r="L171" s="2"/>
      <c r="M171" s="5" t="str">
        <f t="shared" si="9"/>
        <v>CoD011-0d0d</v>
      </c>
      <c r="N171" s="5">
        <f t="shared" si="6"/>
        <v>2</v>
      </c>
      <c r="O171" s="2" t="str">
        <f t="shared" si="10"/>
        <v>Fique atento para a primeira oportunidade que surgir</v>
      </c>
      <c r="P171" t="s">
        <v>297</v>
      </c>
      <c r="Q171" t="s">
        <v>324</v>
      </c>
      <c r="R171" t="s">
        <v>325</v>
      </c>
      <c r="S171">
        <v>0.125</v>
      </c>
    </row>
    <row r="172" spans="1:19" x14ac:dyDescent="0.25">
      <c r="A172" s="2" t="s">
        <v>34</v>
      </c>
      <c r="B172" s="2" t="s">
        <v>86</v>
      </c>
      <c r="C172" s="2" t="s">
        <v>326</v>
      </c>
      <c r="D172" s="3">
        <v>5</v>
      </c>
      <c r="E172" s="3">
        <v>2</v>
      </c>
      <c r="F172" s="3">
        <v>12</v>
      </c>
      <c r="G172" s="2">
        <v>1</v>
      </c>
      <c r="H172" s="2" t="s">
        <v>36</v>
      </c>
      <c r="I172" s="2"/>
      <c r="J172" s="2"/>
      <c r="K172" s="2">
        <v>7</v>
      </c>
      <c r="L172" s="2" t="s">
        <v>36</v>
      </c>
      <c r="M172" s="5" t="str">
        <f t="shared" si="9"/>
        <v>CoD012-1d7d</v>
      </c>
      <c r="N172" s="5">
        <f t="shared" si="6"/>
        <v>2</v>
      </c>
      <c r="O172" s="2" t="str">
        <f t="shared" si="10"/>
        <v>Uma vez por dia por um período de 7 dias</v>
      </c>
      <c r="P172" t="s">
        <v>297</v>
      </c>
      <c r="Q172" t="s">
        <v>298</v>
      </c>
      <c r="R172" t="s">
        <v>299</v>
      </c>
      <c r="S172">
        <v>0</v>
      </c>
    </row>
    <row r="173" spans="1:19" x14ac:dyDescent="0.25">
      <c r="A173" s="2" t="s">
        <v>34</v>
      </c>
      <c r="B173" s="2" t="s">
        <v>113</v>
      </c>
      <c r="C173" s="2" t="s">
        <v>327</v>
      </c>
      <c r="D173" s="3">
        <v>5</v>
      </c>
      <c r="E173" s="3">
        <v>3</v>
      </c>
      <c r="F173" s="3">
        <v>1</v>
      </c>
      <c r="G173" s="2">
        <v>1</v>
      </c>
      <c r="H173" s="2" t="s">
        <v>36</v>
      </c>
      <c r="I173" s="2">
        <v>7</v>
      </c>
      <c r="J173" s="2" t="s">
        <v>36</v>
      </c>
      <c r="K173" s="2">
        <v>21</v>
      </c>
      <c r="L173" s="2" t="s">
        <v>36</v>
      </c>
      <c r="M173" s="5" t="str">
        <f t="shared" si="9"/>
        <v>CoA001-1d21d</v>
      </c>
      <c r="N173" s="5">
        <f t="shared" si="6"/>
        <v>3</v>
      </c>
      <c r="O173" s="2" t="str">
        <f t="shared" si="10"/>
        <v>Uma vez por dia, a cada 7 dias, por um período de 21 dias</v>
      </c>
      <c r="P173" t="s">
        <v>297</v>
      </c>
      <c r="Q173" t="s">
        <v>298</v>
      </c>
      <c r="R173" t="s">
        <v>299</v>
      </c>
      <c r="S173">
        <v>0</v>
      </c>
    </row>
    <row r="174" spans="1:19" x14ac:dyDescent="0.25">
      <c r="A174" s="2" t="s">
        <v>34</v>
      </c>
      <c r="B174" s="2" t="s">
        <v>113</v>
      </c>
      <c r="C174" s="2" t="s">
        <v>328</v>
      </c>
      <c r="D174" s="3">
        <v>5</v>
      </c>
      <c r="E174" s="3">
        <v>3</v>
      </c>
      <c r="F174" s="3">
        <v>2</v>
      </c>
      <c r="G174" s="2">
        <v>1</v>
      </c>
      <c r="H174" s="2" t="s">
        <v>36</v>
      </c>
      <c r="I174" s="2"/>
      <c r="J174" s="2"/>
      <c r="K174" s="2">
        <v>30</v>
      </c>
      <c r="L174" s="2" t="s">
        <v>36</v>
      </c>
      <c r="M174" s="5" t="str">
        <f t="shared" si="9"/>
        <v>CoA002-1d30d</v>
      </c>
      <c r="N174" s="5">
        <f t="shared" si="6"/>
        <v>3</v>
      </c>
      <c r="O174" s="2" t="str">
        <f t="shared" si="10"/>
        <v>Uma vez por dia por um período de 30 dias</v>
      </c>
      <c r="P174" t="s">
        <v>297</v>
      </c>
      <c r="Q174" t="s">
        <v>298</v>
      </c>
      <c r="R174" t="s">
        <v>299</v>
      </c>
      <c r="S174">
        <v>0</v>
      </c>
    </row>
    <row r="175" spans="1:19" x14ac:dyDescent="0.25">
      <c r="A175" s="2" t="s">
        <v>34</v>
      </c>
      <c r="B175" s="2" t="s">
        <v>113</v>
      </c>
      <c r="C175" s="2" t="s">
        <v>329</v>
      </c>
      <c r="D175" s="3">
        <v>5</v>
      </c>
      <c r="E175" s="3">
        <v>3</v>
      </c>
      <c r="F175" s="3">
        <v>3</v>
      </c>
      <c r="G175" s="2">
        <v>1</v>
      </c>
      <c r="H175" s="2" t="s">
        <v>36</v>
      </c>
      <c r="I175" s="2"/>
      <c r="J175" s="2"/>
      <c r="K175" s="2">
        <v>1</v>
      </c>
      <c r="L175" s="2" t="s">
        <v>36</v>
      </c>
      <c r="M175" s="5" t="str">
        <f t="shared" si="9"/>
        <v>CoA003-1d1d</v>
      </c>
      <c r="N175" s="5">
        <f t="shared" si="6"/>
        <v>3</v>
      </c>
      <c r="O175" s="2" t="str">
        <f t="shared" si="10"/>
        <v>Pelo menos uma vez</v>
      </c>
      <c r="P175" t="s">
        <v>297</v>
      </c>
      <c r="Q175" t="s">
        <v>298</v>
      </c>
      <c r="R175" t="s">
        <v>299</v>
      </c>
      <c r="S175">
        <v>0</v>
      </c>
    </row>
    <row r="176" spans="1:19" x14ac:dyDescent="0.25">
      <c r="A176" s="2" t="s">
        <v>34</v>
      </c>
      <c r="B176" s="2" t="s">
        <v>113</v>
      </c>
      <c r="C176" s="2" t="s">
        <v>330</v>
      </c>
      <c r="D176" s="3">
        <v>5</v>
      </c>
      <c r="E176" s="3">
        <v>3</v>
      </c>
      <c r="F176" s="3">
        <v>4</v>
      </c>
      <c r="G176" s="2">
        <v>1</v>
      </c>
      <c r="H176" s="2" t="s">
        <v>36</v>
      </c>
      <c r="I176" s="2">
        <v>7</v>
      </c>
      <c r="J176" s="2" t="s">
        <v>36</v>
      </c>
      <c r="K176" s="2">
        <v>30</v>
      </c>
      <c r="L176" s="2" t="s">
        <v>36</v>
      </c>
      <c r="M176" s="5" t="str">
        <f t="shared" si="9"/>
        <v>CoA004-1d30d</v>
      </c>
      <c r="N176" s="5">
        <f t="shared" si="6"/>
        <v>3</v>
      </c>
      <c r="O176" s="2" t="str">
        <f t="shared" si="10"/>
        <v>Uma vez por dia, a cada 7 dias, por um período de 30 dias</v>
      </c>
      <c r="P176" t="s">
        <v>297</v>
      </c>
      <c r="Q176" t="s">
        <v>298</v>
      </c>
      <c r="R176" t="s">
        <v>299</v>
      </c>
      <c r="S176">
        <v>0</v>
      </c>
    </row>
    <row r="177" spans="1:19" x14ac:dyDescent="0.25">
      <c r="A177" s="2" t="s">
        <v>34</v>
      </c>
      <c r="B177" s="2" t="s">
        <v>113</v>
      </c>
      <c r="C177" s="2" t="s">
        <v>331</v>
      </c>
      <c r="D177" s="3">
        <v>5</v>
      </c>
      <c r="E177" s="3">
        <v>3</v>
      </c>
      <c r="F177" s="3">
        <v>5</v>
      </c>
      <c r="G177" s="2">
        <v>1</v>
      </c>
      <c r="H177" s="2" t="s">
        <v>36</v>
      </c>
      <c r="I177" s="2"/>
      <c r="J177" s="2"/>
      <c r="K177" s="2">
        <v>1</v>
      </c>
      <c r="L177" s="2" t="s">
        <v>36</v>
      </c>
      <c r="M177" s="5" t="str">
        <f t="shared" si="9"/>
        <v>CoA005-1d1d</v>
      </c>
      <c r="N177" s="5">
        <f t="shared" si="6"/>
        <v>3</v>
      </c>
      <c r="O177" s="2" t="str">
        <f t="shared" si="10"/>
        <v>Pelo menos uma vez</v>
      </c>
      <c r="P177" t="s">
        <v>297</v>
      </c>
      <c r="Q177" t="s">
        <v>298</v>
      </c>
      <c r="R177" t="s">
        <v>299</v>
      </c>
      <c r="S177">
        <v>0</v>
      </c>
    </row>
    <row r="178" spans="1:19" x14ac:dyDescent="0.25">
      <c r="A178" s="2" t="s">
        <v>34</v>
      </c>
      <c r="B178" s="2" t="s">
        <v>113</v>
      </c>
      <c r="C178" s="2" t="s">
        <v>332</v>
      </c>
      <c r="D178" s="3">
        <v>5</v>
      </c>
      <c r="E178" s="3">
        <v>3</v>
      </c>
      <c r="F178" s="3">
        <v>6</v>
      </c>
      <c r="G178" s="2">
        <v>1</v>
      </c>
      <c r="H178" s="2" t="s">
        <v>36</v>
      </c>
      <c r="I178" s="2"/>
      <c r="J178" s="2"/>
      <c r="K178" s="2">
        <v>1</v>
      </c>
      <c r="L178" s="2" t="s">
        <v>36</v>
      </c>
      <c r="M178" s="5" t="str">
        <f t="shared" si="9"/>
        <v>CoA006-1d1d</v>
      </c>
      <c r="N178" s="5">
        <f t="shared" ref="N178:N224" si="11">IF(B178="Básico",1,IF(B178="Desafio",2,IF(B178="Avançado",3)))</f>
        <v>3</v>
      </c>
      <c r="O178" s="2" t="str">
        <f t="shared" si="10"/>
        <v>Pelo menos uma vez</v>
      </c>
      <c r="P178" t="s">
        <v>297</v>
      </c>
      <c r="Q178" t="s">
        <v>298</v>
      </c>
      <c r="R178" t="s">
        <v>299</v>
      </c>
      <c r="S178">
        <v>0</v>
      </c>
    </row>
    <row r="179" spans="1:19" x14ac:dyDescent="0.25">
      <c r="A179" s="2" t="s">
        <v>34</v>
      </c>
      <c r="B179" s="2" t="s">
        <v>113</v>
      </c>
      <c r="C179" s="2" t="s">
        <v>333</v>
      </c>
      <c r="D179" s="3">
        <v>5</v>
      </c>
      <c r="E179" s="3">
        <v>3</v>
      </c>
      <c r="F179" s="3">
        <v>7</v>
      </c>
      <c r="G179" s="2">
        <v>1</v>
      </c>
      <c r="H179" s="2" t="s">
        <v>36</v>
      </c>
      <c r="I179" s="2"/>
      <c r="J179" s="2"/>
      <c r="K179" s="2">
        <v>30</v>
      </c>
      <c r="L179" s="2" t="s">
        <v>36</v>
      </c>
      <c r="M179" s="5" t="str">
        <f t="shared" si="9"/>
        <v>CoA007-1d30d</v>
      </c>
      <c r="N179" s="5">
        <f t="shared" si="11"/>
        <v>3</v>
      </c>
      <c r="O179" s="2" t="str">
        <f t="shared" si="10"/>
        <v>Uma vez por dia por um período de 30 dias</v>
      </c>
      <c r="P179" t="s">
        <v>297</v>
      </c>
      <c r="Q179" t="s">
        <v>304</v>
      </c>
      <c r="R179" t="s">
        <v>305</v>
      </c>
      <c r="S179">
        <v>0.222</v>
      </c>
    </row>
    <row r="180" spans="1:19" x14ac:dyDescent="0.25">
      <c r="A180" s="2" t="s">
        <v>34</v>
      </c>
      <c r="B180" s="2" t="s">
        <v>113</v>
      </c>
      <c r="C180" s="2" t="s">
        <v>334</v>
      </c>
      <c r="D180" s="3">
        <v>5</v>
      </c>
      <c r="E180" s="3">
        <v>3</v>
      </c>
      <c r="F180" s="3">
        <v>8</v>
      </c>
      <c r="G180" s="2">
        <v>1</v>
      </c>
      <c r="H180" s="2" t="s">
        <v>36</v>
      </c>
      <c r="I180" s="2"/>
      <c r="J180" s="2"/>
      <c r="K180" s="2">
        <v>1</v>
      </c>
      <c r="L180" s="2" t="s">
        <v>36</v>
      </c>
      <c r="M180" s="5" t="str">
        <f t="shared" si="9"/>
        <v>CoA008-1d1d</v>
      </c>
      <c r="N180" s="5">
        <f t="shared" si="11"/>
        <v>3</v>
      </c>
      <c r="O180" s="2" t="str">
        <f t="shared" si="10"/>
        <v>Pelo menos uma vez</v>
      </c>
      <c r="P180" t="s">
        <v>297</v>
      </c>
      <c r="Q180" t="s">
        <v>298</v>
      </c>
      <c r="R180" t="s">
        <v>299</v>
      </c>
      <c r="S180">
        <v>0</v>
      </c>
    </row>
    <row r="181" spans="1:19" x14ac:dyDescent="0.25">
      <c r="A181" s="2" t="s">
        <v>34</v>
      </c>
      <c r="B181" s="2" t="s">
        <v>113</v>
      </c>
      <c r="C181" s="2" t="s">
        <v>335</v>
      </c>
      <c r="D181" s="3">
        <v>5</v>
      </c>
      <c r="E181" s="3">
        <v>3</v>
      </c>
      <c r="F181" s="3">
        <v>9</v>
      </c>
      <c r="G181" s="2">
        <v>1</v>
      </c>
      <c r="H181" s="2" t="s">
        <v>36</v>
      </c>
      <c r="I181" s="2"/>
      <c r="J181" s="2"/>
      <c r="K181" s="2">
        <v>1</v>
      </c>
      <c r="L181" s="2" t="s">
        <v>36</v>
      </c>
      <c r="M181" s="5" t="str">
        <f t="shared" si="9"/>
        <v>CoA009-1d1d</v>
      </c>
      <c r="N181" s="5">
        <f t="shared" si="11"/>
        <v>3</v>
      </c>
      <c r="O181" s="2" t="str">
        <f t="shared" si="10"/>
        <v>Pelo menos uma vez</v>
      </c>
      <c r="P181" t="s">
        <v>297</v>
      </c>
      <c r="Q181" t="s">
        <v>298</v>
      </c>
      <c r="R181" t="s">
        <v>299</v>
      </c>
      <c r="S181">
        <v>0</v>
      </c>
    </row>
    <row r="182" spans="1:19" x14ac:dyDescent="0.25">
      <c r="A182" s="2" t="s">
        <v>34</v>
      </c>
      <c r="B182" s="2" t="s">
        <v>113</v>
      </c>
      <c r="C182" s="2" t="s">
        <v>336</v>
      </c>
      <c r="D182" s="3">
        <v>5</v>
      </c>
      <c r="E182" s="3">
        <v>3</v>
      </c>
      <c r="F182" s="3">
        <v>10</v>
      </c>
      <c r="G182" s="2">
        <v>1</v>
      </c>
      <c r="H182" s="2" t="s">
        <v>36</v>
      </c>
      <c r="I182" s="2">
        <v>30</v>
      </c>
      <c r="J182" s="2" t="s">
        <v>36</v>
      </c>
      <c r="K182" s="2">
        <v>90</v>
      </c>
      <c r="L182" s="2" t="s">
        <v>36</v>
      </c>
      <c r="M182" s="5" t="str">
        <f t="shared" si="9"/>
        <v>CoA010-1d90d</v>
      </c>
      <c r="N182" s="5">
        <f t="shared" si="11"/>
        <v>3</v>
      </c>
      <c r="O182" s="2" t="str">
        <f t="shared" si="10"/>
        <v>Uma vez por dia, a cada 30 dias, por um período de 90 dias</v>
      </c>
      <c r="P182" t="s">
        <v>297</v>
      </c>
      <c r="Q182" t="s">
        <v>298</v>
      </c>
      <c r="R182" t="s">
        <v>299</v>
      </c>
      <c r="S182">
        <v>0</v>
      </c>
    </row>
    <row r="183" spans="1:19" x14ac:dyDescent="0.25">
      <c r="A183" s="2" t="s">
        <v>34</v>
      </c>
      <c r="B183" s="2" t="s">
        <v>113</v>
      </c>
      <c r="C183" s="2" t="s">
        <v>337</v>
      </c>
      <c r="D183" s="3">
        <v>5</v>
      </c>
      <c r="E183" s="3">
        <v>3</v>
      </c>
      <c r="F183" s="3">
        <v>11</v>
      </c>
      <c r="G183" s="2">
        <v>1</v>
      </c>
      <c r="H183" s="2" t="s">
        <v>36</v>
      </c>
      <c r="I183" s="2"/>
      <c r="J183" s="2"/>
      <c r="K183" s="2">
        <v>1</v>
      </c>
      <c r="L183" s="2" t="s">
        <v>36</v>
      </c>
      <c r="M183" s="5" t="str">
        <f t="shared" si="9"/>
        <v>CoA011-1d1d</v>
      </c>
      <c r="N183" s="5">
        <f t="shared" si="11"/>
        <v>3</v>
      </c>
      <c r="O183" s="2" t="str">
        <f t="shared" si="10"/>
        <v>Pelo menos uma vez</v>
      </c>
      <c r="P183" t="s">
        <v>297</v>
      </c>
      <c r="Q183" t="s">
        <v>298</v>
      </c>
      <c r="R183" t="s">
        <v>299</v>
      </c>
      <c r="S183">
        <v>0</v>
      </c>
    </row>
    <row r="184" spans="1:19" x14ac:dyDescent="0.25">
      <c r="A184" s="2" t="s">
        <v>34</v>
      </c>
      <c r="B184" s="2" t="s">
        <v>113</v>
      </c>
      <c r="C184" s="2" t="s">
        <v>338</v>
      </c>
      <c r="D184" s="3">
        <v>5</v>
      </c>
      <c r="E184" s="3">
        <v>3</v>
      </c>
      <c r="F184" s="3">
        <v>12</v>
      </c>
      <c r="G184" s="2">
        <v>1</v>
      </c>
      <c r="H184" s="2" t="s">
        <v>36</v>
      </c>
      <c r="I184" s="2"/>
      <c r="J184" s="2"/>
      <c r="K184" s="2">
        <v>1</v>
      </c>
      <c r="L184" s="2" t="s">
        <v>36</v>
      </c>
      <c r="M184" s="5" t="str">
        <f t="shared" si="9"/>
        <v>CoA012-1d1d</v>
      </c>
      <c r="N184" s="5">
        <f t="shared" si="11"/>
        <v>3</v>
      </c>
      <c r="O184" s="2" t="str">
        <f t="shared" si="10"/>
        <v>Pelo menos uma vez</v>
      </c>
      <c r="P184" t="s">
        <v>297</v>
      </c>
      <c r="Q184" t="s">
        <v>298</v>
      </c>
      <c r="R184" t="s">
        <v>299</v>
      </c>
      <c r="S184">
        <v>0.111</v>
      </c>
    </row>
    <row r="185" spans="1:19" x14ac:dyDescent="0.25">
      <c r="A185" s="2" t="s">
        <v>34</v>
      </c>
      <c r="B185" s="2" t="s">
        <v>113</v>
      </c>
      <c r="C185" s="2" t="s">
        <v>339</v>
      </c>
      <c r="D185" s="3">
        <v>5</v>
      </c>
      <c r="E185" s="3">
        <v>3</v>
      </c>
      <c r="F185" s="3">
        <v>13</v>
      </c>
      <c r="G185" s="2">
        <v>1</v>
      </c>
      <c r="H185" s="2" t="s">
        <v>36</v>
      </c>
      <c r="I185" s="2">
        <v>30</v>
      </c>
      <c r="J185" s="2" t="s">
        <v>36</v>
      </c>
      <c r="K185" s="2">
        <v>90</v>
      </c>
      <c r="L185" s="2" t="s">
        <v>36</v>
      </c>
      <c r="M185" s="5" t="str">
        <f t="shared" si="9"/>
        <v>CoA013-1d90d</v>
      </c>
      <c r="N185" s="5">
        <f t="shared" si="11"/>
        <v>3</v>
      </c>
      <c r="O185" s="2" t="str">
        <f t="shared" si="10"/>
        <v>Uma vez por dia, a cada 30 dias, por um período de 90 dias</v>
      </c>
      <c r="P185" t="s">
        <v>297</v>
      </c>
      <c r="Q185" t="s">
        <v>298</v>
      </c>
      <c r="R185" t="s">
        <v>299</v>
      </c>
      <c r="S185">
        <v>0</v>
      </c>
    </row>
    <row r="186" spans="1:19" x14ac:dyDescent="0.25">
      <c r="A186" s="2" t="s">
        <v>34</v>
      </c>
      <c r="B186" s="2" t="s">
        <v>113</v>
      </c>
      <c r="C186" s="2" t="s">
        <v>340</v>
      </c>
      <c r="D186" s="3">
        <v>5</v>
      </c>
      <c r="E186" s="3">
        <v>3</v>
      </c>
      <c r="F186" s="3">
        <v>14</v>
      </c>
      <c r="G186" s="2">
        <v>1</v>
      </c>
      <c r="H186" s="2" t="s">
        <v>36</v>
      </c>
      <c r="I186" s="2">
        <v>21</v>
      </c>
      <c r="J186" s="2" t="s">
        <v>36</v>
      </c>
      <c r="K186" s="2">
        <v>21</v>
      </c>
      <c r="L186" s="2" t="s">
        <v>36</v>
      </c>
      <c r="M186" s="5" t="str">
        <f t="shared" si="9"/>
        <v>CoA014-1d21d</v>
      </c>
      <c r="N186" s="5">
        <f t="shared" si="11"/>
        <v>3</v>
      </c>
      <c r="O186" s="2" t="str">
        <f t="shared" si="10"/>
        <v>Uma vez por dia, a cada 21 dias, por um período de 21 dias</v>
      </c>
      <c r="P186" t="s">
        <v>297</v>
      </c>
      <c r="Q186" t="s">
        <v>298</v>
      </c>
      <c r="R186" t="s">
        <v>299</v>
      </c>
      <c r="S186">
        <v>0</v>
      </c>
    </row>
    <row r="187" spans="1:19" x14ac:dyDescent="0.25">
      <c r="A187" s="2" t="s">
        <v>34</v>
      </c>
      <c r="B187" s="2" t="s">
        <v>113</v>
      </c>
      <c r="C187" s="2" t="s">
        <v>341</v>
      </c>
      <c r="D187" s="3">
        <v>5</v>
      </c>
      <c r="E187" s="3">
        <v>3</v>
      </c>
      <c r="F187" s="3">
        <v>15</v>
      </c>
      <c r="G187" s="2">
        <v>1</v>
      </c>
      <c r="H187" s="2" t="s">
        <v>36</v>
      </c>
      <c r="I187" s="2"/>
      <c r="J187" s="2"/>
      <c r="K187" s="2">
        <v>1</v>
      </c>
      <c r="L187" s="2" t="s">
        <v>36</v>
      </c>
      <c r="M187" s="5" t="str">
        <f t="shared" si="9"/>
        <v>CoA015-1d1d</v>
      </c>
      <c r="N187" s="5">
        <f t="shared" si="11"/>
        <v>3</v>
      </c>
      <c r="O187" s="2" t="str">
        <f t="shared" si="10"/>
        <v>Pelo menos uma vez</v>
      </c>
      <c r="P187" t="s">
        <v>297</v>
      </c>
      <c r="Q187" t="s">
        <v>342</v>
      </c>
      <c r="R187" t="s">
        <v>343</v>
      </c>
      <c r="S187">
        <v>0.111</v>
      </c>
    </row>
    <row r="188" spans="1:19" x14ac:dyDescent="0.25">
      <c r="A188" s="2" t="s">
        <v>35</v>
      </c>
      <c r="B188" s="2" t="s">
        <v>57</v>
      </c>
      <c r="C188" s="2" t="s">
        <v>344</v>
      </c>
      <c r="D188" s="4">
        <v>2</v>
      </c>
      <c r="E188" s="4">
        <v>1</v>
      </c>
      <c r="F188" s="4">
        <v>1</v>
      </c>
      <c r="G188" s="5">
        <v>1</v>
      </c>
      <c r="H188" s="5" t="s">
        <v>36</v>
      </c>
      <c r="I188" s="5"/>
      <c r="J188" s="5"/>
      <c r="K188" s="5">
        <v>14</v>
      </c>
      <c r="L188" s="5" t="s">
        <v>36</v>
      </c>
      <c r="M188" s="5" t="str">
        <f>LEFT(A188,2)&amp;LEFT(B188,1)&amp;TEXT(F188,"000")&amp;"-"&amp;IF(
  AND(G188="",H188="",K188="",L188=""),
  "0d0d",
  TEXT(G188,"0")&amp;LOWER(H188)&amp;TEXT(K188,"0")&amp;LOWER(L188)
)</f>
        <v>IgB001-1d14d</v>
      </c>
      <c r="N188" s="5">
        <f t="shared" si="11"/>
        <v>1</v>
      </c>
      <c r="O188" s="2" t="str">
        <f>IF(
  AND(G188="",H188="",I188="",J188="",K188="",L188=""),
  "Fique atento para a primeira oportunidade que surgir",
  IF(AND(G188=0,LOWER(H188)="d",K188=0,LOWER(L188)="d"),
     "Fique atento para a primeira oportunidade que surgir",
     IF(AND(G188=1,LOWER(H188)="d",K188=1,LOWER(L188)="d"),
        "Pelo menos uma vez",
        IF(G188=0,"O dia inteiro",IF(G188=1,"Uma vez",TEXT(G188,"0")&amp;" vezes")&amp;" por "&amp;IF(LOWER(H188)="d","dia","semana"))
        &amp;IF(AND(ISNUMBER(I188),I188&gt;0),", a cada "&amp;TEXT(I188,"0")&amp;" "&amp;IF(I188=1,IF(LOWER(J188)="d","dia","semana"),IF(LOWER(J188)="d","dias","semanas"))&amp;",","")
        &amp;" por um período de "&amp;TEXT(K188,"0")&amp;" "&amp;IF(K188=1,IF(LOWER(L188)="d","dia","semana"),IF(LOWER(L188)="d","dias","semanas"))
     )
  )
)</f>
        <v>Uma vez por dia por um período de 14 dias</v>
      </c>
      <c r="P188" t="s">
        <v>345</v>
      </c>
      <c r="Q188" t="s">
        <v>346</v>
      </c>
      <c r="R188" t="s">
        <v>347</v>
      </c>
      <c r="S188">
        <v>0.111</v>
      </c>
    </row>
    <row r="189" spans="1:19" x14ac:dyDescent="0.25">
      <c r="A189" s="2" t="s">
        <v>35</v>
      </c>
      <c r="B189" s="2" t="s">
        <v>57</v>
      </c>
      <c r="C189" s="2" t="s">
        <v>348</v>
      </c>
      <c r="D189" s="4">
        <v>2</v>
      </c>
      <c r="E189" s="4">
        <v>1</v>
      </c>
      <c r="F189" s="4">
        <v>2</v>
      </c>
      <c r="G189" s="5">
        <v>1</v>
      </c>
      <c r="H189" s="5" t="s">
        <v>36</v>
      </c>
      <c r="I189" s="5">
        <v>7</v>
      </c>
      <c r="J189" s="5" t="s">
        <v>36</v>
      </c>
      <c r="K189" s="5">
        <v>14</v>
      </c>
      <c r="L189" s="5" t="s">
        <v>36</v>
      </c>
      <c r="M189" s="5" t="str">
        <f>LEFT(A189,2)&amp;LEFT(B189,1)&amp;TEXT(F189,"000")&amp;"-"&amp;IF(
  AND(G189="",H189="",K189="",L189=""),
  "0d0d",
  TEXT(G189,"0")&amp;LOWER(H189)&amp;TEXT(K189,"0")&amp;LOWER(L189)
)</f>
        <v>IgB002-1d14d</v>
      </c>
      <c r="N189" s="5">
        <f t="shared" si="11"/>
        <v>1</v>
      </c>
      <c r="O189" s="2" t="str">
        <f>IF(
  AND(G189="",H189="",I189="",J189="",K189="",L189=""),
  "Fique atento para a primeira oportunidade que surgir",
  IF(AND(G189=0,LOWER(H189)="d",K189=0,LOWER(L189)="d"),
     "Fique atento para a primeira oportunidade que surgir",
     IF(AND(G189=1,LOWER(H189)="d",K189=1,LOWER(L189)="d"),
        "Pelo menos uma vez",
        IF(G189=0,"O dia inteiro",IF(G189=1,"Uma vez",TEXT(G189,"0")&amp;" vezes")&amp;" por "&amp;IF(LOWER(H189)="d","dia","semana"))
        &amp;IF(AND(ISNUMBER(I189),I189&gt;0),", a cada "&amp;TEXT(I189,"0")&amp;" "&amp;IF(I189=1,IF(LOWER(J189)="d","dia","semana"),IF(LOWER(J189)="d","dias","semanas"))&amp;",","")
        &amp;" por um período de "&amp;TEXT(K189,"0")&amp;" "&amp;IF(K189=1,IF(LOWER(L189)="d","dia","semana"),IF(LOWER(L189)="d","dias","semanas"))
     )
  )
)</f>
        <v>Uma vez por dia, a cada 7 dias, por um período de 14 dias</v>
      </c>
      <c r="P189" t="s">
        <v>345</v>
      </c>
      <c r="Q189" t="s">
        <v>349</v>
      </c>
      <c r="R189" t="s">
        <v>350</v>
      </c>
      <c r="S189">
        <v>0</v>
      </c>
    </row>
    <row r="190" spans="1:19" x14ac:dyDescent="0.25">
      <c r="A190" s="2" t="s">
        <v>35</v>
      </c>
      <c r="B190" s="2" t="s">
        <v>57</v>
      </c>
      <c r="C190" s="2" t="s">
        <v>351</v>
      </c>
      <c r="D190" s="4">
        <v>2</v>
      </c>
      <c r="E190" s="4">
        <v>1</v>
      </c>
      <c r="F190" s="4">
        <v>3</v>
      </c>
      <c r="G190" s="5">
        <v>1</v>
      </c>
      <c r="H190" s="5" t="s">
        <v>36</v>
      </c>
      <c r="I190" s="5">
        <v>7</v>
      </c>
      <c r="J190" s="5" t="s">
        <v>36</v>
      </c>
      <c r="K190" s="5">
        <v>14</v>
      </c>
      <c r="L190" s="5" t="s">
        <v>36</v>
      </c>
      <c r="M190" s="5" t="str">
        <f t="shared" ref="M190:M224" si="12">LEFT(A190,2)&amp;LEFT(B190,1)&amp;TEXT(F190,"000")&amp;"-"&amp;IF(
AND(G190="",H190="",K190="",L190=""),
"0d0d",
TEXT(G190,"0")&amp;LOWER(H190)&amp;TEXT(K190,"0")&amp;LOWER(L190)
)</f>
        <v>IgB003-1d14d</v>
      </c>
      <c r="N190" s="5">
        <f t="shared" si="11"/>
        <v>1</v>
      </c>
      <c r="O190" s="2" t="str">
        <f t="shared" ref="O190:O224" si="13">IF(
AND(G190="",H190="",I190="",J190="",K190="",L190=""),
"Fique atento para a primeira oportunidade que surgir",
IF(AND(G190=0,LOWER(H190)="d",K190=0,LOWER(L190)="d"),
"Fique atento para a primeira oportunidade que surgir",
IF(AND(G190=1,LOWER(H190)="d",K190=1,LOWER(L190)="d"),
"Pelo menos uma vez",
IF(G190=0,"O dia inteiro",IF(G190=1,"Uma vez",TEXT(G190,"0")&amp;" vezes")&amp;" por "&amp;IF(LOWER(H190)="d","dia","semana"))
&amp;IF(AND(ISNUMBER(I190),I190&gt;0),", a cada "&amp;TEXT(I190,"0")&amp;" "&amp;IF(I190=1,IF(LOWER(J190)="d","dia","semana"),IF(LOWER(J190)="d","dias","semanas"))&amp;",","")
&amp;" por um período de "&amp;TEXT(K190,"0")&amp;" "&amp;IF(K190=1,IF(LOWER(L190)="d","dia","semana"),IF(LOWER(L190)="d","dias","semanas"))
)
)
)</f>
        <v>Uma vez por dia, a cada 7 dias, por um período de 14 dias</v>
      </c>
      <c r="P190" t="s">
        <v>345</v>
      </c>
      <c r="Q190" t="s">
        <v>352</v>
      </c>
      <c r="R190" t="s">
        <v>353</v>
      </c>
      <c r="S190">
        <v>0.111</v>
      </c>
    </row>
    <row r="191" spans="1:19" x14ac:dyDescent="0.25">
      <c r="A191" s="2" t="s">
        <v>35</v>
      </c>
      <c r="B191" s="2" t="s">
        <v>57</v>
      </c>
      <c r="C191" s="2" t="s">
        <v>354</v>
      </c>
      <c r="D191" s="4">
        <v>2</v>
      </c>
      <c r="E191" s="4">
        <v>1</v>
      </c>
      <c r="F191" s="4">
        <v>4</v>
      </c>
      <c r="G191" s="5">
        <v>1</v>
      </c>
      <c r="H191" s="5" t="s">
        <v>36</v>
      </c>
      <c r="I191" s="5"/>
      <c r="J191" s="5"/>
      <c r="K191" s="5">
        <v>1</v>
      </c>
      <c r="L191" s="5" t="s">
        <v>36</v>
      </c>
      <c r="M191" s="5" t="str">
        <f t="shared" si="12"/>
        <v>IgB004-1d1d</v>
      </c>
      <c r="N191" s="5">
        <f t="shared" si="11"/>
        <v>1</v>
      </c>
      <c r="O191" s="2" t="str">
        <f t="shared" si="13"/>
        <v>Pelo menos uma vez</v>
      </c>
      <c r="P191" t="s">
        <v>345</v>
      </c>
      <c r="Q191" t="s">
        <v>355</v>
      </c>
      <c r="R191" t="s">
        <v>356</v>
      </c>
      <c r="S191">
        <v>0.33300000000000002</v>
      </c>
    </row>
    <row r="192" spans="1:19" x14ac:dyDescent="0.25">
      <c r="A192" s="2" t="s">
        <v>35</v>
      </c>
      <c r="B192" s="2" t="s">
        <v>57</v>
      </c>
      <c r="C192" s="2" t="s">
        <v>357</v>
      </c>
      <c r="D192" s="4">
        <v>2</v>
      </c>
      <c r="E192" s="4">
        <v>1</v>
      </c>
      <c r="F192" s="4">
        <v>5</v>
      </c>
      <c r="G192" s="5">
        <v>1</v>
      </c>
      <c r="H192" s="5" t="s">
        <v>36</v>
      </c>
      <c r="I192" s="5"/>
      <c r="J192" s="5"/>
      <c r="K192" s="5">
        <v>1</v>
      </c>
      <c r="L192" s="5" t="s">
        <v>36</v>
      </c>
      <c r="M192" s="5" t="str">
        <f t="shared" si="12"/>
        <v>IgB005-1d1d</v>
      </c>
      <c r="N192" s="5">
        <f t="shared" si="11"/>
        <v>1</v>
      </c>
      <c r="O192" s="2" t="str">
        <f t="shared" si="13"/>
        <v>Pelo menos uma vez</v>
      </c>
      <c r="P192" t="s">
        <v>345</v>
      </c>
      <c r="Q192" t="s">
        <v>349</v>
      </c>
      <c r="R192" t="s">
        <v>350</v>
      </c>
      <c r="S192">
        <v>0</v>
      </c>
    </row>
    <row r="193" spans="1:19" x14ac:dyDescent="0.25">
      <c r="A193" s="2" t="s">
        <v>35</v>
      </c>
      <c r="B193" s="2" t="s">
        <v>57</v>
      </c>
      <c r="C193" s="2" t="s">
        <v>358</v>
      </c>
      <c r="D193" s="4">
        <v>2</v>
      </c>
      <c r="E193" s="4">
        <v>1</v>
      </c>
      <c r="F193" s="4">
        <v>6</v>
      </c>
      <c r="G193" s="5">
        <v>1</v>
      </c>
      <c r="H193" s="5" t="s">
        <v>36</v>
      </c>
      <c r="I193" s="5"/>
      <c r="J193" s="5"/>
      <c r="K193" s="5">
        <v>1</v>
      </c>
      <c r="L193" s="5" t="s">
        <v>36</v>
      </c>
      <c r="M193" s="5" t="str">
        <f t="shared" si="12"/>
        <v>IgB006-1d1d</v>
      </c>
      <c r="N193" s="5">
        <f t="shared" si="11"/>
        <v>1</v>
      </c>
      <c r="O193" s="2" t="str">
        <f t="shared" si="13"/>
        <v>Pelo menos uma vez</v>
      </c>
      <c r="P193" t="s">
        <v>345</v>
      </c>
      <c r="Q193" t="s">
        <v>359</v>
      </c>
      <c r="R193" t="s">
        <v>360</v>
      </c>
      <c r="S193">
        <v>0.125</v>
      </c>
    </row>
    <row r="194" spans="1:19" x14ac:dyDescent="0.25">
      <c r="A194" s="2" t="s">
        <v>35</v>
      </c>
      <c r="B194" s="2" t="s">
        <v>57</v>
      </c>
      <c r="C194" s="2" t="s">
        <v>361</v>
      </c>
      <c r="D194" s="4">
        <v>2</v>
      </c>
      <c r="E194" s="4">
        <v>1</v>
      </c>
      <c r="F194" s="4">
        <v>7</v>
      </c>
      <c r="G194" s="5">
        <v>1</v>
      </c>
      <c r="H194" s="5" t="s">
        <v>36</v>
      </c>
      <c r="I194" s="5"/>
      <c r="J194" s="5"/>
      <c r="K194" s="5">
        <v>1</v>
      </c>
      <c r="L194" s="5" t="s">
        <v>36</v>
      </c>
      <c r="M194" s="5" t="str">
        <f t="shared" si="12"/>
        <v>IgB007-1d1d</v>
      </c>
      <c r="N194" s="5">
        <f t="shared" si="11"/>
        <v>1</v>
      </c>
      <c r="O194" s="2" t="str">
        <f t="shared" si="13"/>
        <v>Pelo menos uma vez</v>
      </c>
      <c r="P194" t="s">
        <v>345</v>
      </c>
      <c r="Q194" t="s">
        <v>349</v>
      </c>
      <c r="R194" t="s">
        <v>350</v>
      </c>
      <c r="S194">
        <v>0</v>
      </c>
    </row>
    <row r="195" spans="1:19" x14ac:dyDescent="0.25">
      <c r="A195" s="2" t="s">
        <v>35</v>
      </c>
      <c r="B195" s="2" t="s">
        <v>57</v>
      </c>
      <c r="C195" s="2" t="s">
        <v>362</v>
      </c>
      <c r="D195" s="4">
        <v>2</v>
      </c>
      <c r="E195" s="4">
        <v>1</v>
      </c>
      <c r="F195" s="4">
        <v>8</v>
      </c>
      <c r="G195" s="5">
        <v>1</v>
      </c>
      <c r="H195" s="5" t="s">
        <v>36</v>
      </c>
      <c r="I195" s="5"/>
      <c r="J195" s="5"/>
      <c r="K195" s="5">
        <v>1</v>
      </c>
      <c r="L195" s="5" t="s">
        <v>36</v>
      </c>
      <c r="M195" s="5" t="str">
        <f t="shared" si="12"/>
        <v>IgB008-1d1d</v>
      </c>
      <c r="N195" s="5">
        <f t="shared" si="11"/>
        <v>1</v>
      </c>
      <c r="O195" s="2" t="str">
        <f t="shared" si="13"/>
        <v>Pelo menos uma vez</v>
      </c>
      <c r="P195" t="s">
        <v>345</v>
      </c>
      <c r="Q195" t="s">
        <v>349</v>
      </c>
      <c r="R195" t="s">
        <v>350</v>
      </c>
      <c r="S195">
        <v>0</v>
      </c>
    </row>
    <row r="196" spans="1:19" x14ac:dyDescent="0.25">
      <c r="A196" s="2" t="s">
        <v>35</v>
      </c>
      <c r="B196" s="2" t="s">
        <v>57</v>
      </c>
      <c r="C196" s="2" t="s">
        <v>363</v>
      </c>
      <c r="D196" s="4">
        <v>2</v>
      </c>
      <c r="E196" s="4">
        <v>1</v>
      </c>
      <c r="F196" s="4">
        <v>9</v>
      </c>
      <c r="G196" s="5">
        <v>1</v>
      </c>
      <c r="H196" s="5" t="s">
        <v>36</v>
      </c>
      <c r="I196" s="5"/>
      <c r="J196" s="5"/>
      <c r="K196" s="5">
        <v>1</v>
      </c>
      <c r="L196" s="5" t="s">
        <v>36</v>
      </c>
      <c r="M196" s="5" t="str">
        <f t="shared" si="12"/>
        <v>IgB009-1d1d</v>
      </c>
      <c r="N196" s="5">
        <f t="shared" si="11"/>
        <v>1</v>
      </c>
      <c r="O196" s="2" t="str">
        <f t="shared" si="13"/>
        <v>Pelo menos uma vez</v>
      </c>
      <c r="P196" t="s">
        <v>345</v>
      </c>
      <c r="Q196" t="s">
        <v>359</v>
      </c>
      <c r="R196" t="s">
        <v>360</v>
      </c>
      <c r="S196">
        <v>0.125</v>
      </c>
    </row>
    <row r="197" spans="1:19" x14ac:dyDescent="0.25">
      <c r="A197" s="2" t="s">
        <v>35</v>
      </c>
      <c r="B197" s="2" t="s">
        <v>57</v>
      </c>
      <c r="C197" s="2" t="s">
        <v>364</v>
      </c>
      <c r="D197" s="4">
        <v>2</v>
      </c>
      <c r="E197" s="4">
        <v>1</v>
      </c>
      <c r="F197" s="4">
        <v>10</v>
      </c>
      <c r="G197" s="5">
        <v>1</v>
      </c>
      <c r="H197" s="5" t="s">
        <v>36</v>
      </c>
      <c r="I197" s="5">
        <v>7</v>
      </c>
      <c r="J197" s="5" t="s">
        <v>36</v>
      </c>
      <c r="K197" s="5">
        <v>21</v>
      </c>
      <c r="L197" s="5" t="s">
        <v>36</v>
      </c>
      <c r="M197" s="5" t="str">
        <f t="shared" si="12"/>
        <v>IgB010-1d21d</v>
      </c>
      <c r="N197" s="5">
        <f t="shared" si="11"/>
        <v>1</v>
      </c>
      <c r="O197" s="2" t="str">
        <f t="shared" si="13"/>
        <v>Uma vez por dia, a cada 7 dias, por um período de 21 dias</v>
      </c>
      <c r="P197" t="s">
        <v>345</v>
      </c>
      <c r="Q197" t="s">
        <v>359</v>
      </c>
      <c r="R197" t="s">
        <v>360</v>
      </c>
      <c r="S197">
        <v>0.14299999999999999</v>
      </c>
    </row>
    <row r="198" spans="1:19" x14ac:dyDescent="0.25">
      <c r="A198" s="2" t="s">
        <v>35</v>
      </c>
      <c r="B198" s="2" t="s">
        <v>86</v>
      </c>
      <c r="C198" s="2" t="s">
        <v>365</v>
      </c>
      <c r="D198" s="4">
        <v>2</v>
      </c>
      <c r="E198" s="4">
        <v>2</v>
      </c>
      <c r="F198" s="4">
        <v>1</v>
      </c>
      <c r="G198" s="5">
        <v>1</v>
      </c>
      <c r="H198" s="5" t="s">
        <v>36</v>
      </c>
      <c r="I198" s="5"/>
      <c r="J198" s="5"/>
      <c r="K198" s="5">
        <v>1</v>
      </c>
      <c r="L198" s="5" t="s">
        <v>36</v>
      </c>
      <c r="M198" s="5" t="str">
        <f t="shared" si="12"/>
        <v>IgD001-1d1d</v>
      </c>
      <c r="N198" s="5">
        <f t="shared" si="11"/>
        <v>2</v>
      </c>
      <c r="O198" s="2" t="str">
        <f t="shared" si="13"/>
        <v>Pelo menos uma vez</v>
      </c>
      <c r="P198" t="s">
        <v>345</v>
      </c>
      <c r="Q198" t="s">
        <v>349</v>
      </c>
      <c r="R198" t="s">
        <v>350</v>
      </c>
      <c r="S198">
        <v>0</v>
      </c>
    </row>
    <row r="199" spans="1:19" x14ac:dyDescent="0.25">
      <c r="A199" s="2" t="s">
        <v>35</v>
      </c>
      <c r="B199" s="2" t="s">
        <v>86</v>
      </c>
      <c r="C199" s="2" t="s">
        <v>366</v>
      </c>
      <c r="D199" s="4">
        <v>2</v>
      </c>
      <c r="E199" s="4">
        <v>2</v>
      </c>
      <c r="F199" s="4">
        <v>2</v>
      </c>
      <c r="G199" s="5">
        <v>1</v>
      </c>
      <c r="H199" s="5" t="s">
        <v>36</v>
      </c>
      <c r="I199" s="5"/>
      <c r="J199" s="5"/>
      <c r="K199" s="5">
        <v>1</v>
      </c>
      <c r="L199" s="5" t="s">
        <v>36</v>
      </c>
      <c r="M199" s="5" t="str">
        <f t="shared" si="12"/>
        <v>IgD002-1d1d</v>
      </c>
      <c r="N199" s="5">
        <f t="shared" si="11"/>
        <v>2</v>
      </c>
      <c r="O199" s="2" t="str">
        <f t="shared" si="13"/>
        <v>Pelo menos uma vez</v>
      </c>
      <c r="P199" t="s">
        <v>345</v>
      </c>
      <c r="Q199" t="s">
        <v>367</v>
      </c>
      <c r="R199" t="s">
        <v>368</v>
      </c>
      <c r="S199">
        <v>0.125</v>
      </c>
    </row>
    <row r="200" spans="1:19" x14ac:dyDescent="0.25">
      <c r="A200" s="2" t="s">
        <v>35</v>
      </c>
      <c r="B200" s="2" t="s">
        <v>86</v>
      </c>
      <c r="C200" s="2" t="s">
        <v>369</v>
      </c>
      <c r="D200" s="4">
        <v>2</v>
      </c>
      <c r="E200" s="4">
        <v>2</v>
      </c>
      <c r="F200" s="4">
        <v>3</v>
      </c>
      <c r="G200" s="5">
        <v>1</v>
      </c>
      <c r="H200" s="5" t="s">
        <v>36</v>
      </c>
      <c r="I200" s="5"/>
      <c r="J200" s="5"/>
      <c r="K200" s="5">
        <v>1</v>
      </c>
      <c r="L200" s="5" t="s">
        <v>36</v>
      </c>
      <c r="M200" s="5" t="str">
        <f t="shared" si="12"/>
        <v>IgD003-1d1d</v>
      </c>
      <c r="N200" s="5">
        <f t="shared" si="11"/>
        <v>2</v>
      </c>
      <c r="O200" s="2" t="str">
        <f t="shared" si="13"/>
        <v>Pelo menos uma vez</v>
      </c>
      <c r="P200" t="s">
        <v>345</v>
      </c>
      <c r="Q200" t="s">
        <v>349</v>
      </c>
      <c r="R200" t="s">
        <v>350</v>
      </c>
      <c r="S200">
        <v>0</v>
      </c>
    </row>
    <row r="201" spans="1:19" x14ac:dyDescent="0.25">
      <c r="A201" s="2" t="s">
        <v>35</v>
      </c>
      <c r="B201" s="2" t="s">
        <v>86</v>
      </c>
      <c r="C201" s="2" t="s">
        <v>370</v>
      </c>
      <c r="D201" s="4">
        <v>2</v>
      </c>
      <c r="E201" s="4">
        <v>2</v>
      </c>
      <c r="F201" s="4">
        <v>4</v>
      </c>
      <c r="G201" s="5">
        <v>1</v>
      </c>
      <c r="H201" s="5" t="s">
        <v>36</v>
      </c>
      <c r="I201" s="5"/>
      <c r="J201" s="5"/>
      <c r="K201" s="5">
        <v>1</v>
      </c>
      <c r="L201" s="5" t="s">
        <v>36</v>
      </c>
      <c r="M201" s="5" t="str">
        <f t="shared" si="12"/>
        <v>IgD004-1d1d</v>
      </c>
      <c r="N201" s="5">
        <f t="shared" si="11"/>
        <v>2</v>
      </c>
      <c r="O201" s="2" t="str">
        <f t="shared" si="13"/>
        <v>Pelo menos uma vez</v>
      </c>
      <c r="P201" t="s">
        <v>345</v>
      </c>
      <c r="Q201" t="s">
        <v>349</v>
      </c>
      <c r="R201" t="s">
        <v>350</v>
      </c>
      <c r="S201">
        <v>0</v>
      </c>
    </row>
    <row r="202" spans="1:19" x14ac:dyDescent="0.25">
      <c r="A202" s="2" t="s">
        <v>35</v>
      </c>
      <c r="B202" s="2" t="s">
        <v>86</v>
      </c>
      <c r="C202" s="2" t="s">
        <v>371</v>
      </c>
      <c r="D202" s="4">
        <v>2</v>
      </c>
      <c r="E202" s="4">
        <v>2</v>
      </c>
      <c r="F202" s="4">
        <v>5</v>
      </c>
      <c r="G202" s="5">
        <v>1</v>
      </c>
      <c r="H202" s="5" t="s">
        <v>36</v>
      </c>
      <c r="I202" s="5"/>
      <c r="J202" s="5"/>
      <c r="K202" s="5">
        <v>1</v>
      </c>
      <c r="L202" s="5" t="s">
        <v>36</v>
      </c>
      <c r="M202" s="5" t="str">
        <f t="shared" si="12"/>
        <v>IgD005-1d1d</v>
      </c>
      <c r="N202" s="5">
        <f t="shared" si="11"/>
        <v>2</v>
      </c>
      <c r="O202" s="2" t="str">
        <f t="shared" si="13"/>
        <v>Pelo menos uma vez</v>
      </c>
      <c r="P202" t="s">
        <v>345</v>
      </c>
      <c r="Q202" t="s">
        <v>355</v>
      </c>
      <c r="R202" t="s">
        <v>356</v>
      </c>
      <c r="S202">
        <v>0.125</v>
      </c>
    </row>
    <row r="203" spans="1:19" x14ac:dyDescent="0.25">
      <c r="A203" s="2" t="s">
        <v>35</v>
      </c>
      <c r="B203" s="2" t="s">
        <v>86</v>
      </c>
      <c r="C203" s="2" t="s">
        <v>372</v>
      </c>
      <c r="D203" s="4">
        <v>2</v>
      </c>
      <c r="E203" s="4">
        <v>2</v>
      </c>
      <c r="F203" s="4">
        <v>6</v>
      </c>
      <c r="G203" s="5">
        <v>1</v>
      </c>
      <c r="H203" s="5" t="s">
        <v>36</v>
      </c>
      <c r="I203" s="5">
        <v>7</v>
      </c>
      <c r="J203" s="5" t="s">
        <v>36</v>
      </c>
      <c r="K203" s="5">
        <v>30</v>
      </c>
      <c r="L203" s="5" t="s">
        <v>36</v>
      </c>
      <c r="M203" s="5" t="str">
        <f t="shared" si="12"/>
        <v>IgD006-1d30d</v>
      </c>
      <c r="N203" s="5">
        <f t="shared" si="11"/>
        <v>2</v>
      </c>
      <c r="O203" s="2" t="str">
        <f t="shared" si="13"/>
        <v>Uma vez por dia, a cada 7 dias, por um período de 30 dias</v>
      </c>
      <c r="P203" t="s">
        <v>345</v>
      </c>
      <c r="Q203" t="s">
        <v>349</v>
      </c>
      <c r="R203" t="s">
        <v>350</v>
      </c>
      <c r="S203">
        <v>0</v>
      </c>
    </row>
    <row r="204" spans="1:19" x14ac:dyDescent="0.25">
      <c r="A204" s="2" t="s">
        <v>35</v>
      </c>
      <c r="B204" s="2" t="s">
        <v>86</v>
      </c>
      <c r="C204" s="2" t="s">
        <v>373</v>
      </c>
      <c r="D204" s="4">
        <v>2</v>
      </c>
      <c r="E204" s="4">
        <v>2</v>
      </c>
      <c r="F204" s="4">
        <v>7</v>
      </c>
      <c r="G204" s="5">
        <v>1</v>
      </c>
      <c r="H204" s="5" t="s">
        <v>36</v>
      </c>
      <c r="I204" s="5"/>
      <c r="J204" s="5"/>
      <c r="K204" s="5">
        <v>7</v>
      </c>
      <c r="L204" s="5" t="s">
        <v>36</v>
      </c>
      <c r="M204" s="5" t="str">
        <f t="shared" si="12"/>
        <v>IgD007-1d7d</v>
      </c>
      <c r="N204" s="5">
        <f t="shared" si="11"/>
        <v>2</v>
      </c>
      <c r="O204" s="2" t="str">
        <f t="shared" si="13"/>
        <v>Uma vez por dia por um período de 7 dias</v>
      </c>
      <c r="P204" t="s">
        <v>345</v>
      </c>
      <c r="Q204" t="s">
        <v>349</v>
      </c>
      <c r="R204" t="s">
        <v>350</v>
      </c>
      <c r="S204">
        <v>0</v>
      </c>
    </row>
    <row r="205" spans="1:19" x14ac:dyDescent="0.25">
      <c r="A205" s="2" t="s">
        <v>35</v>
      </c>
      <c r="B205" s="2" t="s">
        <v>86</v>
      </c>
      <c r="C205" s="2" t="s">
        <v>374</v>
      </c>
      <c r="D205" s="4">
        <v>2</v>
      </c>
      <c r="E205" s="4">
        <v>2</v>
      </c>
      <c r="F205" s="4">
        <v>8</v>
      </c>
      <c r="G205" s="5">
        <v>1</v>
      </c>
      <c r="H205" s="5" t="s">
        <v>36</v>
      </c>
      <c r="I205" s="5">
        <v>3</v>
      </c>
      <c r="J205" s="5" t="s">
        <v>36</v>
      </c>
      <c r="K205" s="5">
        <v>7</v>
      </c>
      <c r="L205" s="5" t="s">
        <v>36</v>
      </c>
      <c r="M205" s="5" t="str">
        <f t="shared" si="12"/>
        <v>IgD008-1d7d</v>
      </c>
      <c r="N205" s="5">
        <f t="shared" si="11"/>
        <v>2</v>
      </c>
      <c r="O205" s="2" t="str">
        <f t="shared" si="13"/>
        <v>Uma vez por dia, a cada 3 dias, por um período de 7 dias</v>
      </c>
      <c r="P205" t="s">
        <v>345</v>
      </c>
      <c r="Q205" t="s">
        <v>349</v>
      </c>
      <c r="R205" t="s">
        <v>350</v>
      </c>
      <c r="S205">
        <v>0</v>
      </c>
    </row>
    <row r="206" spans="1:19" x14ac:dyDescent="0.25">
      <c r="A206" s="2" t="s">
        <v>35</v>
      </c>
      <c r="B206" s="2" t="s">
        <v>86</v>
      </c>
      <c r="C206" s="2" t="s">
        <v>375</v>
      </c>
      <c r="D206" s="4">
        <v>2</v>
      </c>
      <c r="E206" s="4">
        <v>2</v>
      </c>
      <c r="F206" s="4">
        <v>9</v>
      </c>
      <c r="G206" s="5">
        <v>1</v>
      </c>
      <c r="H206" s="5" t="s">
        <v>36</v>
      </c>
      <c r="I206" s="5"/>
      <c r="J206" s="5"/>
      <c r="K206" s="5">
        <v>1</v>
      </c>
      <c r="L206" s="5" t="s">
        <v>36</v>
      </c>
      <c r="M206" s="5" t="str">
        <f t="shared" si="12"/>
        <v>IgD009-1d1d</v>
      </c>
      <c r="N206" s="5">
        <f t="shared" si="11"/>
        <v>2</v>
      </c>
      <c r="O206" s="2" t="str">
        <f t="shared" si="13"/>
        <v>Pelo menos uma vez</v>
      </c>
      <c r="P206" t="s">
        <v>345</v>
      </c>
      <c r="Q206" t="s">
        <v>367</v>
      </c>
      <c r="R206" t="s">
        <v>368</v>
      </c>
      <c r="S206">
        <v>0.14299999999999999</v>
      </c>
    </row>
    <row r="207" spans="1:19" x14ac:dyDescent="0.25">
      <c r="A207" s="2" t="s">
        <v>35</v>
      </c>
      <c r="B207" s="2" t="s">
        <v>86</v>
      </c>
      <c r="C207" s="2" t="s">
        <v>376</v>
      </c>
      <c r="D207" s="4">
        <v>2</v>
      </c>
      <c r="E207" s="4">
        <v>2</v>
      </c>
      <c r="F207" s="4">
        <v>10</v>
      </c>
      <c r="G207" s="5">
        <v>1</v>
      </c>
      <c r="H207" s="5" t="s">
        <v>36</v>
      </c>
      <c r="I207" s="5"/>
      <c r="J207" s="5"/>
      <c r="K207" s="5">
        <v>1</v>
      </c>
      <c r="L207" s="5" t="s">
        <v>36</v>
      </c>
      <c r="M207" s="5" t="str">
        <f t="shared" si="12"/>
        <v>IgD010-1d1d</v>
      </c>
      <c r="N207" s="5">
        <f t="shared" si="11"/>
        <v>2</v>
      </c>
      <c r="O207" s="2" t="str">
        <f t="shared" si="13"/>
        <v>Pelo menos uma vez</v>
      </c>
      <c r="P207" t="s">
        <v>345</v>
      </c>
      <c r="Q207" t="s">
        <v>349</v>
      </c>
      <c r="R207" t="s">
        <v>350</v>
      </c>
      <c r="S207">
        <v>0.111</v>
      </c>
    </row>
    <row r="208" spans="1:19" x14ac:dyDescent="0.25">
      <c r="A208" s="2" t="s">
        <v>35</v>
      </c>
      <c r="B208" s="2" t="s">
        <v>86</v>
      </c>
      <c r="C208" s="2" t="s">
        <v>377</v>
      </c>
      <c r="D208" s="4">
        <v>2</v>
      </c>
      <c r="E208" s="4">
        <v>2</v>
      </c>
      <c r="F208" s="4">
        <v>11</v>
      </c>
      <c r="G208" s="5">
        <v>1</v>
      </c>
      <c r="H208" s="5" t="s">
        <v>36</v>
      </c>
      <c r="I208" s="5"/>
      <c r="J208" s="5"/>
      <c r="K208" s="5">
        <v>1</v>
      </c>
      <c r="L208" s="5" t="s">
        <v>36</v>
      </c>
      <c r="M208" s="5" t="str">
        <f t="shared" si="12"/>
        <v>IgD011-1d1d</v>
      </c>
      <c r="N208" s="5">
        <f t="shared" si="11"/>
        <v>2</v>
      </c>
      <c r="O208" s="2" t="str">
        <f t="shared" si="13"/>
        <v>Pelo menos uma vez</v>
      </c>
      <c r="P208" t="s">
        <v>345</v>
      </c>
      <c r="Q208" t="s">
        <v>349</v>
      </c>
      <c r="R208" t="s">
        <v>350</v>
      </c>
      <c r="S208">
        <v>0</v>
      </c>
    </row>
    <row r="209" spans="1:19" x14ac:dyDescent="0.25">
      <c r="A209" s="2" t="s">
        <v>35</v>
      </c>
      <c r="B209" s="2" t="s">
        <v>86</v>
      </c>
      <c r="C209" s="2" t="s">
        <v>378</v>
      </c>
      <c r="D209" s="4">
        <v>2</v>
      </c>
      <c r="E209" s="4">
        <v>2</v>
      </c>
      <c r="F209" s="4">
        <v>12</v>
      </c>
      <c r="G209" s="5">
        <v>1</v>
      </c>
      <c r="H209" s="5" t="s">
        <v>36</v>
      </c>
      <c r="I209" s="5"/>
      <c r="J209" s="5"/>
      <c r="K209" s="5">
        <v>1</v>
      </c>
      <c r="L209" s="5" t="s">
        <v>36</v>
      </c>
      <c r="M209" s="5" t="str">
        <f t="shared" si="12"/>
        <v>IgD012-1d1d</v>
      </c>
      <c r="N209" s="5">
        <f t="shared" si="11"/>
        <v>2</v>
      </c>
      <c r="O209" s="2" t="str">
        <f t="shared" si="13"/>
        <v>Pelo menos uma vez</v>
      </c>
      <c r="P209" t="s">
        <v>345</v>
      </c>
      <c r="Q209" t="s">
        <v>349</v>
      </c>
      <c r="R209" t="s">
        <v>350</v>
      </c>
      <c r="S209">
        <v>0</v>
      </c>
    </row>
    <row r="210" spans="1:19" x14ac:dyDescent="0.25">
      <c r="A210" s="2" t="s">
        <v>35</v>
      </c>
      <c r="B210" s="2" t="s">
        <v>113</v>
      </c>
      <c r="C210" s="2" t="s">
        <v>379</v>
      </c>
      <c r="D210" s="4">
        <v>2</v>
      </c>
      <c r="E210" s="4">
        <v>3</v>
      </c>
      <c r="F210" s="4">
        <v>1</v>
      </c>
      <c r="G210" s="5">
        <v>1</v>
      </c>
      <c r="H210" s="5" t="s">
        <v>36</v>
      </c>
      <c r="I210" s="5">
        <v>7</v>
      </c>
      <c r="J210" s="5" t="s">
        <v>36</v>
      </c>
      <c r="K210" s="5">
        <v>30</v>
      </c>
      <c r="L210" s="5" t="s">
        <v>36</v>
      </c>
      <c r="M210" s="5" t="str">
        <f t="shared" si="12"/>
        <v>IgA001-1d30d</v>
      </c>
      <c r="N210" s="5">
        <f t="shared" si="11"/>
        <v>3</v>
      </c>
      <c r="O210" s="2" t="str">
        <f t="shared" si="13"/>
        <v>Uma vez por dia, a cada 7 dias, por um período de 30 dias</v>
      </c>
      <c r="P210" t="s">
        <v>345</v>
      </c>
      <c r="Q210" t="s">
        <v>349</v>
      </c>
      <c r="R210" t="s">
        <v>350</v>
      </c>
      <c r="S210">
        <v>0</v>
      </c>
    </row>
    <row r="211" spans="1:19" x14ac:dyDescent="0.25">
      <c r="A211" s="2" t="s">
        <v>35</v>
      </c>
      <c r="B211" s="2" t="s">
        <v>113</v>
      </c>
      <c r="C211" s="2" t="s">
        <v>380</v>
      </c>
      <c r="D211" s="4">
        <v>2</v>
      </c>
      <c r="E211" s="4">
        <v>3</v>
      </c>
      <c r="F211" s="4">
        <v>2</v>
      </c>
      <c r="G211" s="5">
        <v>1</v>
      </c>
      <c r="H211" s="5" t="s">
        <v>36</v>
      </c>
      <c r="I211" s="5"/>
      <c r="J211" s="5"/>
      <c r="K211" s="5">
        <v>1</v>
      </c>
      <c r="L211" s="5" t="s">
        <v>36</v>
      </c>
      <c r="M211" s="5" t="str">
        <f t="shared" si="12"/>
        <v>IgA002-1d1d</v>
      </c>
      <c r="N211" s="5">
        <f t="shared" si="11"/>
        <v>3</v>
      </c>
      <c r="O211" s="2" t="str">
        <f t="shared" si="13"/>
        <v>Pelo menos uma vez</v>
      </c>
      <c r="P211" t="s">
        <v>345</v>
      </c>
      <c r="Q211" t="s">
        <v>349</v>
      </c>
      <c r="R211" t="s">
        <v>350</v>
      </c>
      <c r="S211">
        <v>0</v>
      </c>
    </row>
    <row r="212" spans="1:19" x14ac:dyDescent="0.25">
      <c r="A212" s="2" t="s">
        <v>35</v>
      </c>
      <c r="B212" s="2" t="s">
        <v>113</v>
      </c>
      <c r="C212" s="2" t="s">
        <v>381</v>
      </c>
      <c r="D212" s="4">
        <v>2</v>
      </c>
      <c r="E212" s="4">
        <v>3</v>
      </c>
      <c r="F212" s="4">
        <v>3</v>
      </c>
      <c r="G212" s="5">
        <v>1</v>
      </c>
      <c r="H212" s="5" t="s">
        <v>36</v>
      </c>
      <c r="I212" s="5"/>
      <c r="J212" s="5"/>
      <c r="K212" s="5">
        <v>1</v>
      </c>
      <c r="L212" s="5" t="s">
        <v>36</v>
      </c>
      <c r="M212" s="5" t="str">
        <f t="shared" si="12"/>
        <v>IgA003-1d1d</v>
      </c>
      <c r="N212" s="5">
        <f t="shared" si="11"/>
        <v>3</v>
      </c>
      <c r="O212" s="2" t="str">
        <f t="shared" si="13"/>
        <v>Pelo menos uma vez</v>
      </c>
      <c r="P212" t="s">
        <v>345</v>
      </c>
      <c r="Q212" t="s">
        <v>349</v>
      </c>
      <c r="R212" t="s">
        <v>350</v>
      </c>
      <c r="S212">
        <v>0</v>
      </c>
    </row>
    <row r="213" spans="1:19" x14ac:dyDescent="0.25">
      <c r="A213" s="2" t="s">
        <v>35</v>
      </c>
      <c r="B213" s="2" t="s">
        <v>113</v>
      </c>
      <c r="C213" s="2" t="s">
        <v>382</v>
      </c>
      <c r="D213" s="4">
        <v>2</v>
      </c>
      <c r="E213" s="4">
        <v>3</v>
      </c>
      <c r="F213" s="4">
        <v>4</v>
      </c>
      <c r="G213" s="5">
        <v>1</v>
      </c>
      <c r="H213" s="5" t="s">
        <v>36</v>
      </c>
      <c r="I213" s="5"/>
      <c r="J213" s="5"/>
      <c r="K213" s="5">
        <v>1</v>
      </c>
      <c r="L213" s="5" t="s">
        <v>36</v>
      </c>
      <c r="M213" s="5" t="str">
        <f t="shared" si="12"/>
        <v>IgA004-1d1d</v>
      </c>
      <c r="N213" s="5">
        <f t="shared" si="11"/>
        <v>3</v>
      </c>
      <c r="O213" s="2" t="str">
        <f t="shared" si="13"/>
        <v>Pelo menos uma vez</v>
      </c>
      <c r="P213" t="s">
        <v>345</v>
      </c>
      <c r="Q213" t="s">
        <v>349</v>
      </c>
      <c r="R213" t="s">
        <v>350</v>
      </c>
      <c r="S213">
        <v>0</v>
      </c>
    </row>
    <row r="214" spans="1:19" x14ac:dyDescent="0.25">
      <c r="A214" s="2" t="s">
        <v>35</v>
      </c>
      <c r="B214" s="2" t="s">
        <v>113</v>
      </c>
      <c r="C214" s="2" t="s">
        <v>383</v>
      </c>
      <c r="D214" s="4">
        <v>2</v>
      </c>
      <c r="E214" s="4">
        <v>3</v>
      </c>
      <c r="F214" s="4">
        <v>5</v>
      </c>
      <c r="G214" s="5">
        <v>1</v>
      </c>
      <c r="H214" s="5" t="s">
        <v>36</v>
      </c>
      <c r="I214" s="5">
        <v>7</v>
      </c>
      <c r="J214" s="5" t="s">
        <v>36</v>
      </c>
      <c r="K214" s="5">
        <v>21</v>
      </c>
      <c r="L214" s="5" t="s">
        <v>36</v>
      </c>
      <c r="M214" s="5" t="str">
        <f t="shared" si="12"/>
        <v>IgA005-1d21d</v>
      </c>
      <c r="N214" s="5">
        <f t="shared" si="11"/>
        <v>3</v>
      </c>
      <c r="O214" s="2" t="str">
        <f t="shared" si="13"/>
        <v>Uma vez por dia, a cada 7 dias, por um período de 21 dias</v>
      </c>
      <c r="P214" t="s">
        <v>345</v>
      </c>
      <c r="Q214" t="s">
        <v>349</v>
      </c>
      <c r="R214" t="s">
        <v>350</v>
      </c>
      <c r="S214">
        <v>0</v>
      </c>
    </row>
    <row r="215" spans="1:19" x14ac:dyDescent="0.25">
      <c r="A215" s="2" t="s">
        <v>35</v>
      </c>
      <c r="B215" s="2" t="s">
        <v>113</v>
      </c>
      <c r="C215" s="2" t="s">
        <v>384</v>
      </c>
      <c r="D215" s="4">
        <v>2</v>
      </c>
      <c r="E215" s="4">
        <v>3</v>
      </c>
      <c r="F215" s="4">
        <v>6</v>
      </c>
      <c r="G215" s="5">
        <v>1</v>
      </c>
      <c r="H215" s="5" t="s">
        <v>36</v>
      </c>
      <c r="I215" s="5"/>
      <c r="J215" s="5"/>
      <c r="K215" s="5">
        <v>30</v>
      </c>
      <c r="L215" s="5" t="s">
        <v>36</v>
      </c>
      <c r="M215" s="5" t="str">
        <f t="shared" si="12"/>
        <v>IgA006-1d30d</v>
      </c>
      <c r="N215" s="5">
        <f t="shared" si="11"/>
        <v>3</v>
      </c>
      <c r="O215" s="2" t="str">
        <f t="shared" si="13"/>
        <v>Uma vez por dia por um período de 30 dias</v>
      </c>
      <c r="P215" t="s">
        <v>345</v>
      </c>
      <c r="Q215" t="s">
        <v>349</v>
      </c>
      <c r="R215" t="s">
        <v>350</v>
      </c>
      <c r="S215">
        <v>0</v>
      </c>
    </row>
    <row r="216" spans="1:19" x14ac:dyDescent="0.25">
      <c r="A216" s="2" t="s">
        <v>35</v>
      </c>
      <c r="B216" s="2" t="s">
        <v>113</v>
      </c>
      <c r="C216" s="2" t="s">
        <v>385</v>
      </c>
      <c r="D216" s="4">
        <v>2</v>
      </c>
      <c r="E216" s="4">
        <v>3</v>
      </c>
      <c r="F216" s="4">
        <v>7</v>
      </c>
      <c r="G216" s="5">
        <v>1</v>
      </c>
      <c r="H216" s="5" t="s">
        <v>36</v>
      </c>
      <c r="I216" s="5">
        <v>7</v>
      </c>
      <c r="J216" s="5" t="s">
        <v>36</v>
      </c>
      <c r="K216" s="5">
        <v>30</v>
      </c>
      <c r="L216" s="5" t="s">
        <v>36</v>
      </c>
      <c r="M216" s="5" t="str">
        <f t="shared" si="12"/>
        <v>IgA007-1d30d</v>
      </c>
      <c r="N216" s="5">
        <f t="shared" si="11"/>
        <v>3</v>
      </c>
      <c r="O216" s="2" t="str">
        <f t="shared" si="13"/>
        <v>Uma vez por dia, a cada 7 dias, por um período de 30 dias</v>
      </c>
      <c r="P216" t="s">
        <v>345</v>
      </c>
      <c r="Q216" t="s">
        <v>349</v>
      </c>
      <c r="R216" t="s">
        <v>350</v>
      </c>
      <c r="S216">
        <v>0</v>
      </c>
    </row>
    <row r="217" spans="1:19" x14ac:dyDescent="0.25">
      <c r="A217" s="2" t="s">
        <v>35</v>
      </c>
      <c r="B217" s="2" t="s">
        <v>113</v>
      </c>
      <c r="C217" s="2" t="s">
        <v>386</v>
      </c>
      <c r="D217" s="4">
        <v>2</v>
      </c>
      <c r="E217" s="4">
        <v>3</v>
      </c>
      <c r="F217" s="4">
        <v>8</v>
      </c>
      <c r="G217" s="5">
        <v>1</v>
      </c>
      <c r="H217" s="5" t="s">
        <v>36</v>
      </c>
      <c r="I217" s="5"/>
      <c r="J217" s="5"/>
      <c r="K217" s="5">
        <v>3</v>
      </c>
      <c r="L217" s="5" t="s">
        <v>36</v>
      </c>
      <c r="M217" s="5" t="str">
        <f t="shared" si="12"/>
        <v>IgA008-1d3d</v>
      </c>
      <c r="N217" s="5">
        <f t="shared" si="11"/>
        <v>3</v>
      </c>
      <c r="O217" s="2" t="str">
        <f t="shared" si="13"/>
        <v>Uma vez por dia por um período de 3 dias</v>
      </c>
      <c r="P217" t="s">
        <v>345</v>
      </c>
      <c r="Q217" t="s">
        <v>349</v>
      </c>
      <c r="R217" t="s">
        <v>350</v>
      </c>
      <c r="S217">
        <v>0</v>
      </c>
    </row>
    <row r="218" spans="1:19" x14ac:dyDescent="0.25">
      <c r="A218" s="2" t="s">
        <v>35</v>
      </c>
      <c r="B218" s="2" t="s">
        <v>113</v>
      </c>
      <c r="C218" s="2" t="s">
        <v>387</v>
      </c>
      <c r="D218" s="4">
        <v>2</v>
      </c>
      <c r="E218" s="4">
        <v>3</v>
      </c>
      <c r="F218" s="4">
        <v>9</v>
      </c>
      <c r="G218" s="5">
        <v>1</v>
      </c>
      <c r="H218" s="5" t="s">
        <v>36</v>
      </c>
      <c r="I218" s="5">
        <v>7</v>
      </c>
      <c r="J218" s="5" t="s">
        <v>36</v>
      </c>
      <c r="K218" s="5">
        <v>60</v>
      </c>
      <c r="L218" s="5" t="s">
        <v>36</v>
      </c>
      <c r="M218" s="5" t="str">
        <f t="shared" si="12"/>
        <v>IgA009-1d60d</v>
      </c>
      <c r="N218" s="5">
        <f t="shared" si="11"/>
        <v>3</v>
      </c>
      <c r="O218" s="2" t="str">
        <f t="shared" si="13"/>
        <v>Uma vez por dia, a cada 7 dias, por um período de 60 dias</v>
      </c>
      <c r="P218" t="s">
        <v>345</v>
      </c>
      <c r="Q218" t="s">
        <v>349</v>
      </c>
      <c r="R218" t="s">
        <v>350</v>
      </c>
      <c r="S218">
        <v>0</v>
      </c>
    </row>
    <row r="219" spans="1:19" x14ac:dyDescent="0.25">
      <c r="A219" s="2" t="s">
        <v>35</v>
      </c>
      <c r="B219" s="2" t="s">
        <v>113</v>
      </c>
      <c r="C219" s="2" t="s">
        <v>388</v>
      </c>
      <c r="D219" s="4">
        <v>2</v>
      </c>
      <c r="E219" s="4">
        <v>3</v>
      </c>
      <c r="F219" s="4">
        <v>10</v>
      </c>
      <c r="G219" s="5">
        <v>1</v>
      </c>
      <c r="H219" s="5" t="s">
        <v>36</v>
      </c>
      <c r="I219" s="5">
        <v>7</v>
      </c>
      <c r="J219" s="5" t="s">
        <v>36</v>
      </c>
      <c r="K219" s="5">
        <v>60</v>
      </c>
      <c r="L219" s="5" t="s">
        <v>36</v>
      </c>
      <c r="M219" s="5" t="str">
        <f t="shared" si="12"/>
        <v>IgA010-1d60d</v>
      </c>
      <c r="N219" s="5">
        <f t="shared" si="11"/>
        <v>3</v>
      </c>
      <c r="O219" s="2" t="str">
        <f t="shared" si="13"/>
        <v>Uma vez por dia, a cada 7 dias, por um período de 60 dias</v>
      </c>
      <c r="P219" t="s">
        <v>345</v>
      </c>
      <c r="Q219" t="s">
        <v>359</v>
      </c>
      <c r="R219" t="s">
        <v>360</v>
      </c>
      <c r="S219">
        <v>0.28599999999999998</v>
      </c>
    </row>
    <row r="220" spans="1:19" x14ac:dyDescent="0.25">
      <c r="A220" s="2" t="s">
        <v>35</v>
      </c>
      <c r="B220" s="2" t="s">
        <v>113</v>
      </c>
      <c r="C220" s="2" t="s">
        <v>389</v>
      </c>
      <c r="D220" s="4">
        <v>2</v>
      </c>
      <c r="E220" s="4">
        <v>3</v>
      </c>
      <c r="F220" s="4">
        <v>11</v>
      </c>
      <c r="G220" s="5">
        <v>1</v>
      </c>
      <c r="H220" s="5" t="s">
        <v>36</v>
      </c>
      <c r="I220" s="5"/>
      <c r="J220" s="5"/>
      <c r="K220" s="5">
        <v>1</v>
      </c>
      <c r="L220" s="5" t="s">
        <v>36</v>
      </c>
      <c r="M220" s="5" t="str">
        <f t="shared" si="12"/>
        <v>IgA011-1d1d</v>
      </c>
      <c r="N220" s="5">
        <f t="shared" si="11"/>
        <v>3</v>
      </c>
      <c r="O220" s="2" t="str">
        <f t="shared" si="13"/>
        <v>Pelo menos uma vez</v>
      </c>
      <c r="P220" t="s">
        <v>345</v>
      </c>
      <c r="Q220" t="s">
        <v>349</v>
      </c>
      <c r="R220" t="s">
        <v>350</v>
      </c>
      <c r="S220">
        <v>0</v>
      </c>
    </row>
    <row r="221" spans="1:19" x14ac:dyDescent="0.25">
      <c r="A221" s="2" t="s">
        <v>35</v>
      </c>
      <c r="B221" s="2" t="s">
        <v>113</v>
      </c>
      <c r="C221" s="2" t="s">
        <v>390</v>
      </c>
      <c r="D221" s="4">
        <v>2</v>
      </c>
      <c r="E221" s="4">
        <v>3</v>
      </c>
      <c r="F221" s="4">
        <v>12</v>
      </c>
      <c r="G221" s="5">
        <v>1</v>
      </c>
      <c r="H221" s="5" t="s">
        <v>36</v>
      </c>
      <c r="I221" s="5"/>
      <c r="J221" s="5"/>
      <c r="K221" s="5">
        <v>1</v>
      </c>
      <c r="L221" s="5" t="s">
        <v>36</v>
      </c>
      <c r="M221" s="5" t="str">
        <f t="shared" si="12"/>
        <v>IgA012-1d1d</v>
      </c>
      <c r="N221" s="5">
        <f t="shared" si="11"/>
        <v>3</v>
      </c>
      <c r="O221" s="2" t="str">
        <f t="shared" si="13"/>
        <v>Pelo menos uma vez</v>
      </c>
      <c r="P221" t="s">
        <v>345</v>
      </c>
      <c r="Q221" t="s">
        <v>367</v>
      </c>
      <c r="R221" t="s">
        <v>368</v>
      </c>
      <c r="S221">
        <v>0.111</v>
      </c>
    </row>
    <row r="222" spans="1:19" x14ac:dyDescent="0.25">
      <c r="A222" s="2" t="s">
        <v>35</v>
      </c>
      <c r="B222" s="2" t="s">
        <v>113</v>
      </c>
      <c r="C222" s="2" t="s">
        <v>391</v>
      </c>
      <c r="D222" s="4">
        <v>2</v>
      </c>
      <c r="E222" s="4">
        <v>3</v>
      </c>
      <c r="F222" s="4">
        <v>13</v>
      </c>
      <c r="G222" s="5">
        <v>1</v>
      </c>
      <c r="H222" s="5" t="s">
        <v>36</v>
      </c>
      <c r="I222" s="5"/>
      <c r="J222" s="5"/>
      <c r="K222" s="5">
        <v>1</v>
      </c>
      <c r="L222" s="5" t="s">
        <v>36</v>
      </c>
      <c r="M222" s="5" t="str">
        <f t="shared" si="12"/>
        <v>IgA013-1d1d</v>
      </c>
      <c r="N222" s="5">
        <f t="shared" si="11"/>
        <v>3</v>
      </c>
      <c r="O222" s="2" t="str">
        <f t="shared" si="13"/>
        <v>Pelo menos uma vez</v>
      </c>
      <c r="P222" t="s">
        <v>345</v>
      </c>
      <c r="Q222" t="s">
        <v>349</v>
      </c>
      <c r="R222" t="s">
        <v>350</v>
      </c>
      <c r="S222">
        <v>0</v>
      </c>
    </row>
    <row r="223" spans="1:19" x14ac:dyDescent="0.25">
      <c r="A223" s="2" t="s">
        <v>35</v>
      </c>
      <c r="B223" s="2" t="s">
        <v>113</v>
      </c>
      <c r="C223" s="2" t="s">
        <v>392</v>
      </c>
      <c r="D223" s="4">
        <v>2</v>
      </c>
      <c r="E223" s="4">
        <v>3</v>
      </c>
      <c r="F223" s="4">
        <v>14</v>
      </c>
      <c r="G223" s="5">
        <v>1</v>
      </c>
      <c r="H223" s="5" t="s">
        <v>36</v>
      </c>
      <c r="I223" s="5">
        <v>7</v>
      </c>
      <c r="J223" s="5" t="s">
        <v>36</v>
      </c>
      <c r="K223" s="5">
        <v>30</v>
      </c>
      <c r="L223" s="5" t="s">
        <v>36</v>
      </c>
      <c r="M223" s="5" t="str">
        <f t="shared" si="12"/>
        <v>IgA014-1d30d</v>
      </c>
      <c r="N223" s="5">
        <f t="shared" si="11"/>
        <v>3</v>
      </c>
      <c r="O223" s="2" t="str">
        <f t="shared" si="13"/>
        <v>Uma vez por dia, a cada 7 dias, por um período de 30 dias</v>
      </c>
      <c r="P223" t="s">
        <v>345</v>
      </c>
      <c r="Q223" t="s">
        <v>349</v>
      </c>
      <c r="R223" t="s">
        <v>350</v>
      </c>
      <c r="S223">
        <v>0</v>
      </c>
    </row>
    <row r="224" spans="1:19" x14ac:dyDescent="0.25">
      <c r="A224" s="2" t="s">
        <v>35</v>
      </c>
      <c r="B224" s="2" t="s">
        <v>113</v>
      </c>
      <c r="C224" s="2" t="s">
        <v>393</v>
      </c>
      <c r="D224" s="4">
        <v>2</v>
      </c>
      <c r="E224" s="4">
        <v>3</v>
      </c>
      <c r="F224" s="4">
        <v>15</v>
      </c>
      <c r="G224" s="5">
        <v>1</v>
      </c>
      <c r="H224" s="5" t="s">
        <v>36</v>
      </c>
      <c r="I224" s="5"/>
      <c r="J224" s="5"/>
      <c r="K224" s="5">
        <v>1</v>
      </c>
      <c r="L224" s="5" t="s">
        <v>36</v>
      </c>
      <c r="M224" s="5" t="str">
        <f t="shared" si="12"/>
        <v>IgA015-1d1d</v>
      </c>
      <c r="N224" s="5">
        <f t="shared" si="11"/>
        <v>3</v>
      </c>
      <c r="O224" s="2" t="str">
        <f t="shared" si="13"/>
        <v>Pelo menos uma vez</v>
      </c>
      <c r="P224" t="s">
        <v>345</v>
      </c>
      <c r="Q224" t="s">
        <v>355</v>
      </c>
      <c r="R224" t="s">
        <v>356</v>
      </c>
      <c r="S224">
        <v>0.125</v>
      </c>
    </row>
  </sheetData>
  <dataValidations disablePrompts="1" count="1">
    <dataValidation type="whole" operator="greaterThanOrEqual" allowBlank="1" showInputMessage="1" showErrorMessage="1" errorTitle="Número inválido" error="Informe um número inteiro maior ou igual a 0" sqref="G2:G75 K2:K75 I2:I75 H76:H113 D76:D113 F76:F113 G114:G1037 I114:I1037 K114:K1037" xr:uid="{00000000-0002-0000-0200-000000000000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 &amp; Instruções</vt:lpstr>
      <vt:lpstr>_DV</vt:lpstr>
      <vt:lpstr>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Wanderley</dc:creator>
  <cp:lastModifiedBy>Wanderley Gazeta</cp:lastModifiedBy>
  <dcterms:created xsi:type="dcterms:W3CDTF">2025-09-12T11:35:00Z</dcterms:created>
  <dcterms:modified xsi:type="dcterms:W3CDTF">2025-12-11T01:15:27Z</dcterms:modified>
</cp:coreProperties>
</file>