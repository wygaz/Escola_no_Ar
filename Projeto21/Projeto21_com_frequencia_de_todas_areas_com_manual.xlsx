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anderley\Apps\escola_no_ar_site\Projeto21\"/>
    </mc:Choice>
  </mc:AlternateContent>
  <xr:revisionPtr revIDLastSave="0" documentId="13_ncr:1_{1D0B7720-D5B5-4A74-9F02-9EE78D422DCC}" xr6:coauthVersionLast="47" xr6:coauthVersionMax="47" xr10:uidLastSave="{00000000-0000-0000-0000-000000000000}"/>
  <bookViews>
    <workbookView xWindow="-120" yWindow="-120" windowWidth="20730" windowHeight="11160" firstSheet="2" activeTab="5" xr2:uid="{00000000-000D-0000-FFFF-FFFF00000000}"/>
  </bookViews>
  <sheets>
    <sheet name="Resumo &amp; Instruções" sheetId="1" r:id="rId1"/>
    <sheet name="_DV" sheetId="2" state="hidden" r:id="rId2"/>
    <sheet name="Familia" sheetId="3" r:id="rId3"/>
    <sheet name="Escola" sheetId="4" r:id="rId4"/>
    <sheet name="Eu mesmo" sheetId="5" r:id="rId5"/>
    <sheet name="Amigos" sheetId="6" r:id="rId6"/>
    <sheet name="Comunidade" sheetId="7" r:id="rId7"/>
    <sheet name="Igreja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7" l="1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O2" i="3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" i="4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O2" i="5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O2" i="6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O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2" i="8"/>
  <c r="M36" i="8"/>
  <c r="N38" i="8"/>
  <c r="M38" i="8"/>
  <c r="N37" i="8"/>
  <c r="M37" i="8"/>
  <c r="N36" i="8"/>
  <c r="N35" i="8"/>
  <c r="M35" i="8"/>
  <c r="N34" i="8"/>
  <c r="M34" i="8"/>
  <c r="N33" i="8"/>
  <c r="M33" i="8"/>
  <c r="N32" i="8"/>
  <c r="M32" i="8"/>
  <c r="N31" i="8"/>
  <c r="M31" i="8"/>
  <c r="N30" i="8"/>
  <c r="M30" i="8"/>
  <c r="N29" i="8"/>
  <c r="M29" i="8"/>
  <c r="N28" i="8"/>
  <c r="M28" i="8"/>
  <c r="N27" i="8"/>
  <c r="M27" i="8"/>
  <c r="N26" i="8"/>
  <c r="M26" i="8"/>
  <c r="N25" i="8"/>
  <c r="M25" i="8"/>
  <c r="N24" i="8"/>
  <c r="M24" i="8"/>
  <c r="N23" i="8"/>
  <c r="M23" i="8"/>
  <c r="N22" i="8"/>
  <c r="M22" i="8"/>
  <c r="N21" i="8"/>
  <c r="M21" i="8"/>
  <c r="N20" i="8"/>
  <c r="M20" i="8"/>
  <c r="N19" i="8"/>
  <c r="M19" i="8"/>
  <c r="N18" i="8"/>
  <c r="M18" i="8"/>
  <c r="N17" i="8"/>
  <c r="M17" i="8"/>
  <c r="N16" i="8"/>
  <c r="M16" i="8"/>
  <c r="N15" i="8"/>
  <c r="M15" i="8"/>
  <c r="N14" i="8"/>
  <c r="M14" i="8"/>
  <c r="N13" i="8"/>
  <c r="M13" i="8"/>
  <c r="N12" i="8"/>
  <c r="M12" i="8"/>
  <c r="N11" i="8"/>
  <c r="M11" i="8"/>
  <c r="N10" i="8"/>
  <c r="M10" i="8"/>
  <c r="N9" i="8"/>
  <c r="M9" i="8"/>
  <c r="N8" i="8"/>
  <c r="M8" i="8"/>
  <c r="N7" i="8"/>
  <c r="M7" i="8"/>
  <c r="N6" i="8"/>
  <c r="M6" i="8"/>
  <c r="N5" i="8"/>
  <c r="M5" i="8"/>
  <c r="N4" i="8"/>
  <c r="M4" i="8"/>
  <c r="N3" i="8"/>
  <c r="M3" i="8"/>
  <c r="N2" i="8"/>
  <c r="M2" i="8"/>
  <c r="N38" i="7"/>
  <c r="M38" i="7"/>
  <c r="N37" i="7"/>
  <c r="M37" i="7"/>
  <c r="N36" i="7"/>
  <c r="M36" i="7"/>
  <c r="N35" i="7"/>
  <c r="M35" i="7"/>
  <c r="N34" i="7"/>
  <c r="M34" i="7"/>
  <c r="N33" i="7"/>
  <c r="M33" i="7"/>
  <c r="N32" i="7"/>
  <c r="M32" i="7"/>
  <c r="N31" i="7"/>
  <c r="M31" i="7"/>
  <c r="N30" i="7"/>
  <c r="M30" i="7"/>
  <c r="N29" i="7"/>
  <c r="M29" i="7"/>
  <c r="N28" i="7"/>
  <c r="M28" i="7"/>
  <c r="N27" i="7"/>
  <c r="M27" i="7"/>
  <c r="N26" i="7"/>
  <c r="N25" i="7"/>
  <c r="M25" i="7"/>
  <c r="N24" i="7"/>
  <c r="M24" i="7"/>
  <c r="N23" i="7"/>
  <c r="M23" i="7"/>
  <c r="N22" i="7"/>
  <c r="M22" i="7"/>
  <c r="N21" i="7"/>
  <c r="M21" i="7"/>
  <c r="N20" i="7"/>
  <c r="M20" i="7"/>
  <c r="N19" i="7"/>
  <c r="M19" i="7"/>
  <c r="N18" i="7"/>
  <c r="M18" i="7"/>
  <c r="N17" i="7"/>
  <c r="M17" i="7"/>
  <c r="N16" i="7"/>
  <c r="M16" i="7"/>
  <c r="N15" i="7"/>
  <c r="M15" i="7"/>
  <c r="N14" i="7"/>
  <c r="M14" i="7"/>
  <c r="N13" i="7"/>
  <c r="M13" i="7"/>
  <c r="N12" i="7"/>
  <c r="M12" i="7"/>
  <c r="N11" i="7"/>
  <c r="M11" i="7"/>
  <c r="N10" i="7"/>
  <c r="M10" i="7"/>
  <c r="N9" i="7"/>
  <c r="M9" i="7"/>
  <c r="N8" i="7"/>
  <c r="M8" i="7"/>
  <c r="N7" i="7"/>
  <c r="M7" i="7"/>
  <c r="N6" i="7"/>
  <c r="M6" i="7"/>
  <c r="N5" i="7"/>
  <c r="M5" i="7"/>
  <c r="N4" i="7"/>
  <c r="M4" i="7"/>
  <c r="N3" i="7"/>
  <c r="M3" i="7"/>
  <c r="N2" i="7"/>
  <c r="M2" i="7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2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M2" i="3"/>
  <c r="O39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M2" i="5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</calcChain>
</file>

<file path=xl/sharedStrings.xml><?xml version="1.0" encoding="utf-8"?>
<sst xmlns="http://schemas.openxmlformats.org/spreadsheetml/2006/main" count="1270" uniqueCount="316">
  <si>
    <t>Como preencher</t>
  </si>
  <si>
    <t>1.</t>
  </si>
  <si>
    <t>2.</t>
  </si>
  <si>
    <t>Unidades válidas: d = dia(s), s = semana(s).</t>
  </si>
  <si>
    <t>3.</t>
  </si>
  <si>
    <t>Zeros à esquerda não são necessários nas colunas numéricas.</t>
  </si>
  <si>
    <t>4.</t>
  </si>
  <si>
    <t>5.</t>
  </si>
  <si>
    <t>Se FreqNum = 0 e Unid = d → significa 'o dia inteiro'.</t>
  </si>
  <si>
    <t>6.</t>
  </si>
  <si>
    <t>Exemplo de sufixo</t>
  </si>
  <si>
    <t>Área</t>
  </si>
  <si>
    <t>Linhas</t>
  </si>
  <si>
    <t>Dimensões únicas</t>
  </si>
  <si>
    <t>Família</t>
  </si>
  <si>
    <t>Escola</t>
  </si>
  <si>
    <t>Eu mesmo</t>
  </si>
  <si>
    <t>Amigos</t>
  </si>
  <si>
    <t>Comunidade</t>
  </si>
  <si>
    <t>Igreja</t>
  </si>
  <si>
    <t>d</t>
  </si>
  <si>
    <t>s</t>
  </si>
  <si>
    <t>Area</t>
  </si>
  <si>
    <t>Estrategia</t>
  </si>
  <si>
    <t>OrdemArea</t>
  </si>
  <si>
    <t>OrdemEstrategia</t>
  </si>
  <si>
    <t>FreqNum</t>
  </si>
  <si>
    <t>FreqUnid</t>
  </si>
  <si>
    <t>PeriodoNum</t>
  </si>
  <si>
    <t>PeriodoUnid</t>
  </si>
  <si>
    <t>CODIGO</t>
  </si>
  <si>
    <t>Peso</t>
  </si>
  <si>
    <t>Básico</t>
  </si>
  <si>
    <t>Conversar com meus pais sobre como foi meu dia.</t>
  </si>
  <si>
    <t>Dar um abraço de carinho em alguém da família.</t>
  </si>
  <si>
    <t>Participar de uma refeição em família sem celular.</t>
  </si>
  <si>
    <t>Ouvir com atenção a opinião de um familiar.</t>
  </si>
  <si>
    <t>Fazer uma oração pela minha família.</t>
  </si>
  <si>
    <t>Escrever uma mensagem positiva para um parente.</t>
  </si>
  <si>
    <t>Organizar meu quarto ou espaço pessoal.</t>
  </si>
  <si>
    <t>Contar uma lembrança boa para alguém da família.</t>
  </si>
  <si>
    <t>Desafio</t>
  </si>
  <si>
    <t>Preparar uma refeição simples para a família.</t>
  </si>
  <si>
    <t>Fazer um planejamento de tarefas domésticas para a semana.</t>
  </si>
  <si>
    <t>Acompanhar um familiar em um compromisso importante.</t>
  </si>
  <si>
    <t>Organizar um momento devocional familiar curto.</t>
  </si>
  <si>
    <t>Resolver um pequeno conflito propondo um acordo justo.</t>
  </si>
  <si>
    <t>Escanear/organizar fotos antigas da família e compartilhar.</t>
  </si>
  <si>
    <t>Cuidar de um animal de estimação ou planta da casa.</t>
  </si>
  <si>
    <t>Aprender e ensinar uma receita tradicional da família.</t>
  </si>
  <si>
    <t>Avançado</t>
  </si>
  <si>
    <t>Planejar e conduzir um culto familiar semanal de 30 minutos.</t>
  </si>
  <si>
    <t>Criar e executar um projeto familiar (horta, reforma, doação).</t>
  </si>
  <si>
    <t>Promover um dia de reconciliação: pedir perdão e perdoar.</t>
  </si>
  <si>
    <t>Implantar regras de uso de telas e revisar em família.</t>
  </si>
  <si>
    <t>Facilitar uma conversa sobre vocação com um membro da família.</t>
  </si>
  <si>
    <t>Implantar check-ins semanais sobre clima familiar.</t>
  </si>
  <si>
    <t>Revisar o conteúdo de uma aula no mesmo dia.</t>
  </si>
  <si>
    <t>Anotar as tarefas no caderno ou agenda.</t>
  </si>
  <si>
    <t>Perguntar uma dúvida ao professor.</t>
  </si>
  <si>
    <t>Ajudar um colega com explicação simples.</t>
  </si>
  <si>
    <t>Ler 10 minutos de um livro extra além da escola.</t>
  </si>
  <si>
    <t>Organizar minha mochila antes de dormir.</t>
  </si>
  <si>
    <t>Participar de forma ativa em sala de aula.</t>
  </si>
  <si>
    <t>Cumprimentar um funcionário da escola com respeito.</t>
  </si>
  <si>
    <t>Fazer uma anotação positiva no caderno.</t>
  </si>
  <si>
    <t>Compartilhar material de estudo com um colega.</t>
  </si>
  <si>
    <t>Elaborar um resumo estruturado de um capítulo.</t>
  </si>
  <si>
    <t>Resolver uma lista extra de exercícios escolhida por mim.</t>
  </si>
  <si>
    <t>Criar flashcards e revisar por 15 minutos.</t>
  </si>
  <si>
    <t>Formar um grupo de estudo e combinar um encontro.</t>
  </si>
  <si>
    <t>Produzir um mapa mental de um tema difícil.</t>
  </si>
  <si>
    <t>Assistir uma videoaula e anotar pontos-chave.</t>
  </si>
  <si>
    <t>Agendar e comparecer a horário de dúvidas com professor.</t>
  </si>
  <si>
    <t>Aplicar técnica Pomodoro por 1 hora de estudo.</t>
  </si>
  <si>
    <t>Planejar a semana acadêmica em uma agenda digital.</t>
  </si>
  <si>
    <t>Fazer um simulado breve (10–15 questões).</t>
  </si>
  <si>
    <t>Reescrever anotações tornando-as mais claras.</t>
  </si>
  <si>
    <t>Explicar um conceito a um colega até ele entender.</t>
  </si>
  <si>
    <t>Montar plano de estudos de 3 semanas com metas e revisões.</t>
  </si>
  <si>
    <t>Executar 3 ciclos Pomodoro/dia por 5 dias seguidos.</t>
  </si>
  <si>
    <t>Produzir resumos de 3 capítulos e mapas mentais completos.</t>
  </si>
  <si>
    <t>Realizar 2 simulados completos com correção de erros.</t>
  </si>
  <si>
    <t>Construir portfólio com melhores exercícios/projetos.</t>
  </si>
  <si>
    <t>Solicitar e aplicar feedback de professor em trabalho.</t>
  </si>
  <si>
    <t>Tutorar um colega por 3 encontros (30–45 min).</t>
  </si>
  <si>
    <t>Implementar técnica Feynman para 3 conceitos difíceis.</t>
  </si>
  <si>
    <t>Elaborar formulário de autoavaliação semanal de estudos.</t>
  </si>
  <si>
    <t>Fazer revisão espaçada (SRS) por 21 dias.</t>
  </si>
  <si>
    <t>Criar guia de prova com questões-chave e gabarito comentado.</t>
  </si>
  <si>
    <t>Manter rotina de sono e alimentação focada no aprendizado.</t>
  </si>
  <si>
    <t>Estudar em ambiente controlado (sem distrações) por 2 semanas.</t>
  </si>
  <si>
    <t>Praticar escrita acadêmica: introdução, desenvolvimento, conclusão.</t>
  </si>
  <si>
    <t>Arrumar minha cama ao acordar.</t>
  </si>
  <si>
    <t>Tomar água antes de usar o celular de manhã.</t>
  </si>
  <si>
    <t>Fazer 10 minutos de exercício físico.</t>
  </si>
  <si>
    <t>Separar 5 minutos para respirar ou orar sozinho.</t>
  </si>
  <si>
    <t>Dormir no horário combinado.</t>
  </si>
  <si>
    <t>Anotar três coisas boas do meu dia.</t>
  </si>
  <si>
    <t>Evitar usar celular durante a refeição.</t>
  </si>
  <si>
    <t>Organizar minha mesa de estudo.</t>
  </si>
  <si>
    <t>Fazer 30 minutos de atividade física contínua.</t>
  </si>
  <si>
    <t>Praticar alongamento/ mobilidade por 15 minutos.</t>
  </si>
  <si>
    <t>Planejar cardápio saudável de 2 dias e seguir.</t>
  </si>
  <si>
    <t>Realizar jejum digital por 6 horas no dia.</t>
  </si>
  <si>
    <t>Estabelecer meta SMART semanal e monitorar.</t>
  </si>
  <si>
    <t>Praticar journaling de 10 minutos com perguntas guias.</t>
  </si>
  <si>
    <t>Aprender uma técnica de respiração e praticar 10 minutos.</t>
  </si>
  <si>
    <t>Dormir 3 noites seguidas no mesmo horário.</t>
  </si>
  <si>
    <t>Ler 20 páginas de um livro edificante.</t>
  </si>
  <si>
    <t>Organizar e manter uma rotina matinal simples.</t>
  </si>
  <si>
    <t>Completar rotina de exercícios 5x/semana por 3 semanas.</t>
  </si>
  <si>
    <t>Implantar plano alimentar com preparo antecipado (meal prep).</t>
  </si>
  <si>
    <t>Zerar notificações e estabelecer janelas de uso por 21 dias.</t>
  </si>
  <si>
    <t>Ler um livro inteiro e produzir resenha.</t>
  </si>
  <si>
    <t>Praticar meditação/oração guiada 15 min por 21 dias.</t>
  </si>
  <si>
    <t>Criar e seguir rotina matinal e noturna consistentes.</t>
  </si>
  <si>
    <t>Realizar projeto pessoal (música, arte, código) com entregável.</t>
  </si>
  <si>
    <t>Implementar método GTD/Kanban para tarefas por 3 semanas.</t>
  </si>
  <si>
    <t>Estabelecer orçamento pessoal básico e registrar gastos.</t>
  </si>
  <si>
    <t>Eliminar um hábito ruim substituindo por um bom (21 dias).</t>
  </si>
  <si>
    <t>Fazer check-up de saúde e montar plano de autocuidado.</t>
  </si>
  <si>
    <t>Estudar um tema novo com plano e avaliação.</t>
  </si>
  <si>
    <t>Praticar gratidão diária com 3 registros por 21 dias.</t>
  </si>
  <si>
    <t>Executar detox de açúcar ultraprocessado por 14 dias.</t>
  </si>
  <si>
    <t>Documentar minha vocação/talentos e próximo passo concreto.</t>
  </si>
  <si>
    <t>Mandar uma mensagem positiva para um amigo.</t>
  </si>
  <si>
    <t>Ouvir sem interromper quando um amigo fala.</t>
  </si>
  <si>
    <t>Ajudar um amigo em uma tarefa difícil.</t>
  </si>
  <si>
    <t>Compartilhar algo que tenho (lanche, material, tempo).</t>
  </si>
  <si>
    <t>Pedir desculpa se eu magoei alguém.</t>
  </si>
  <si>
    <t>Dar uma palavra de incentivo a quem está triste.</t>
  </si>
  <si>
    <t>Fazer um elogio verdadeiro a um amigo.</t>
  </si>
  <si>
    <t>Sorrir e cumprimentar alguém que costumo ignorar.</t>
  </si>
  <si>
    <t>Estar disponível para ouvir um amigo sem pressa.</t>
  </si>
  <si>
    <t>Organizar um encontro saudável sem gastos excessivos.</t>
  </si>
  <si>
    <t>Apoiar um amigo em um objetivo pessoal com check-ins.</t>
  </si>
  <si>
    <t>Criar um pequeno grupo para leitura/estudo conjunto.</t>
  </si>
  <si>
    <t>Ensinar uma habilidade que eu domino a um amigo.</t>
  </si>
  <si>
    <t>Iniciar uma conversa difícil com empatia e respeito.</t>
  </si>
  <si>
    <t>Escrever um bilhete ou e-mail de apreciação sincera.</t>
  </si>
  <si>
    <t>Acompanhar um amigo a uma consulta/compromisso.</t>
  </si>
  <si>
    <t>Oferecer carona compartilhada ou dividir custos.</t>
  </si>
  <si>
    <t>Organizar fotos/momentos e compartilhar um álbum.</t>
  </si>
  <si>
    <t>Praticar escuta ativa e refletir o que o outro disse.</t>
  </si>
  <si>
    <t>Coordenar grupo de responsabilidade mútua com metas semanais.</t>
  </si>
  <si>
    <t>Conduzir reconciliação entre dois amigos com neutralidade.</t>
  </si>
  <si>
    <t>Planejar viagem/saída com orçamento e segurança.</t>
  </si>
  <si>
    <t>Apoiar amigo em mudança/necessidade logística complexa.</t>
  </si>
  <si>
    <t>Criar tradição positiva semanal com amigos (sem telas).</t>
  </si>
  <si>
    <t>Realizar projeto de serviço com amigos na comunidade.</t>
  </si>
  <si>
    <t>Construir pactos de comunicação não-violenta no grupo.</t>
  </si>
  <si>
    <t>Mentorear um amigo mais novo por 3 semanas.</t>
  </si>
  <si>
    <t>Organizar campanha de arrecadação entre amigos.</t>
  </si>
  <si>
    <t>Produzir conteúdo colaborativo (vídeo, blog, podcast) edificante.</t>
  </si>
  <si>
    <t>Criar e manter calendário de aniversários com ações concretas.</t>
  </si>
  <si>
    <t>Estabelecer noite de leitura/estudo conjunto recorrente.</t>
  </si>
  <si>
    <t>Planejar desafio de saúde entre amigos com acompanhamento.</t>
  </si>
  <si>
    <t>Praticar jejum de redes com o grupo por 7 dias.</t>
  </si>
  <si>
    <t>Conduzir check-ins semanais (objetivos, vitórias, ajustes).</t>
  </si>
  <si>
    <t>Recolher um lixo da rua e jogar no lugar certo.</t>
  </si>
  <si>
    <t>Cumprimentar educadamente vizinhos.</t>
  </si>
  <si>
    <t>Ajudar alguém a carregar algo pesado.</t>
  </si>
  <si>
    <t>Ceder lugar no ônibus ou assento.</t>
  </si>
  <si>
    <t>Guardar silêncio em locais públicos.</t>
  </si>
  <si>
    <t>Respeitar filas sem reclamar.</t>
  </si>
  <si>
    <t>Agradecer a um trabalhador do bairro.</t>
  </si>
  <si>
    <t>Participar de uma ação social da igreja ou escola.</t>
  </si>
  <si>
    <t>Doar uma peça de roupa em bom estado.</t>
  </si>
  <si>
    <t>Segurar a porta aberta para alguém.</t>
  </si>
  <si>
    <t>Pesquisar e participar de um voluntariado local.</t>
  </si>
  <si>
    <t>Apoiar uma campanha de doação (alimentos/agasalhos).</t>
  </si>
  <si>
    <t>Ajudar a pintar, consertar ou limpar um espaço público.</t>
  </si>
  <si>
    <t>Mapear necessidades do bairro e sugerir ações.</t>
  </si>
  <si>
    <t>Criar um pequeno mutirão de limpeza com amigos.</t>
  </si>
  <si>
    <t>Aprender o nome de 5 trabalhadores do bairro.</t>
  </si>
  <si>
    <t>Apoiar um pequeno comércio local conscientemente.</t>
  </si>
  <si>
    <t>Ajudar na segurança ao atravessar crianças/idosos.</t>
  </si>
  <si>
    <t>Participar de reunião de moradores/representação estudantil.</t>
  </si>
  <si>
    <t>Registrar e reportar um problema público corretamente.</t>
  </si>
  <si>
    <t>Produzir um cartaz ou post de utilidade pública.</t>
  </si>
  <si>
    <t>Praticar gentilezas diárias por 7 dias seguidos.</t>
  </si>
  <si>
    <t>Propor e liderar mutirão de limpeza por 3 semanas.</t>
  </si>
  <si>
    <t>Criar e executar campanha de doação com metas e prestação de contas.</t>
  </si>
  <si>
    <t>Articular parceria com comércio local para benefício social.</t>
  </si>
  <si>
    <t>Organizar aula/oficina gratuita (tema que domino).</t>
  </si>
  <si>
    <t>Criar projeto de segurança viária local com mapeamento de riscos.</t>
  </si>
  <si>
    <t>Escrever carta formal à prefeitura com sugestões fundamentadas.</t>
  </si>
  <si>
    <t>Formar rede de apoio a idosos/crianças com cronograma.</t>
  </si>
  <si>
    <t>Implantar ponto fixo de coleta de recicláveis em parceria.</t>
  </si>
  <si>
    <t>Produzir guia local (serviços úteis) e distribuir digitalmente.</t>
  </si>
  <si>
    <t>Criar boletim comunitário mensal com atualizações.</t>
  </si>
  <si>
    <t>Capacitar 5 pessoas em uma habilidade prática.</t>
  </si>
  <si>
    <t>Mapear ONGs locais e alinhar voluntariado recorrente.</t>
  </si>
  <si>
    <t>Conduzir pesquisa de satisfação sobre serviços do bairro.</t>
  </si>
  <si>
    <t>Registrar indicadores (lixo, iluminação, segurança) por 3 semanas.</t>
  </si>
  <si>
    <t>Formalizar grupo em rede social para mobilização positiva.</t>
  </si>
  <si>
    <t>Anotar uma frase marcante do sermão ou estudo.</t>
  </si>
  <si>
    <t>Participar ativamente de uma oração coletiva.</t>
  </si>
  <si>
    <t>Compartilhar uma reflexão nas redes sociais.</t>
  </si>
  <si>
    <t>Convidar um amigo para vir à igreja comigo.</t>
  </si>
  <si>
    <t>Ajudar a recolher materiais ou organizar cadeiras.</t>
  </si>
  <si>
    <t>Cantar com alegria durante o louvor.</t>
  </si>
  <si>
    <t>Fazer uma oração silenciosa por alguém da igreja.</t>
  </si>
  <si>
    <t>Agradecer a um líder ou professor da igreja.</t>
  </si>
  <si>
    <t>Preparar a leitura pública de um salmo ou texto.</t>
  </si>
  <si>
    <t>Apoiar voluntariamente uma classe infantil por um dia.</t>
  </si>
  <si>
    <t>Ensaiar e apresentar um hino/leitura responsiva.</t>
  </si>
  <si>
    <t>Visitar alguém ausente e levar uma palavra de ânimo.</t>
  </si>
  <si>
    <t>Participar da organização de um pequeno evento da igreja.</t>
  </si>
  <si>
    <t>Fazer um estudo bíblico guiado de 20 minutos com alguém.</t>
  </si>
  <si>
    <t>Planejar e cumprir um plano semanal de leitura devocional.</t>
  </si>
  <si>
    <t>Levantar e registrar pedidos de oração ao longo da semana.</t>
  </si>
  <si>
    <t>Apoiar a mídia/sonoplastia como auxiliar.</t>
  </si>
  <si>
    <t>Conduzir uma oração intercessória específica por alguém.</t>
  </si>
  <si>
    <t>Escrever e compartilhar um breve testemunho pessoal.</t>
  </si>
  <si>
    <t>Liderar pequeno grupo/PG por 3 encontros consecutivos.</t>
  </si>
  <si>
    <t>Preparar e conduzir uma meditação de 10–15 minutos.</t>
  </si>
  <si>
    <t>Organizar e executar uma ação missionária simples.</t>
  </si>
  <si>
    <t>Coordenar logística de um programa (escala, materiais, tempo).</t>
  </si>
  <si>
    <t>Acompanhar discipulado de 1 pessoa por 3 semanas.</t>
  </si>
  <si>
    <t>Treinar e atuar em equipe de recepção/acolhimento.</t>
  </si>
  <si>
    <t>Produzir uma série de 3 posts devocionais.</t>
  </si>
  <si>
    <t>Criar roteiro e conduzir oração de intercessão em cadeia.</t>
  </si>
  <si>
    <t>Pesquisar doutrina/tema e apresentar síntese em 10 minutos.</t>
  </si>
  <si>
    <t>Apoiar ou liderar ensaio musical com organização de repertório.</t>
  </si>
  <si>
    <t>Mapear talentos do grupo e propor escala de participação.</t>
  </si>
  <si>
    <t>Fazer visitação a enfermo/idoso com planejamento e registros.</t>
  </si>
  <si>
    <t>Conduzir feedback respeitoso para melhoria de um ministério.</t>
  </si>
  <si>
    <t>Decorar pelo menos 1 verso bíblico ou frase positiva</t>
  </si>
  <si>
    <t>Selecionar música que me eleve espiritualmente.</t>
  </si>
  <si>
    <t>Estabelecer um horário para dormir e cumprir à risca</t>
  </si>
  <si>
    <t>Não deixar nada pendente para o próximo dia</t>
  </si>
  <si>
    <t>Apresentar um seminário curto com slides originais na aula em classe, para colegas ou para os pais.</t>
  </si>
  <si>
    <t>Basico</t>
  </si>
  <si>
    <t>Reduzir açúcar e eliminar refrigerante</t>
  </si>
  <si>
    <t>Ajudar em uma tarefa de casa sem que me peçam. Definir a tarefa.</t>
  </si>
  <si>
    <t>FaB002-1d7d</t>
  </si>
  <si>
    <t>FaB003-1d7d</t>
  </si>
  <si>
    <t>FaB004-1d7d</t>
  </si>
  <si>
    <t>FaB005-1d7d</t>
  </si>
  <si>
    <t>FaB006-1d7d</t>
  </si>
  <si>
    <t>FaB007-1d7d</t>
  </si>
  <si>
    <t>FaB008-1d7d</t>
  </si>
  <si>
    <t>Agradecer algo específico que alguém da família fez por mim.</t>
  </si>
  <si>
    <t>FaB009-1d7d</t>
  </si>
  <si>
    <t>FaB010-1d7d</t>
  </si>
  <si>
    <t>FaD001-2d7d</t>
  </si>
  <si>
    <t>FaD002-2d7d</t>
  </si>
  <si>
    <t>Conversar sobre como você pode colaborar com as finanças familiares com responsabilidade.</t>
  </si>
  <si>
    <t>FaD003-2d7d</t>
  </si>
  <si>
    <t>FaD004-2d7d</t>
  </si>
  <si>
    <t>Escrever uma carta/mensagem de gratidão para um membro da família.</t>
  </si>
  <si>
    <t>FaD005-2d7d</t>
  </si>
  <si>
    <t>Medir e reduzir meu tempo de tela durante o tempo em que estiver com a família.</t>
  </si>
  <si>
    <t>FaD006-2d7d</t>
  </si>
  <si>
    <t>FaD007-2d7d</t>
  </si>
  <si>
    <t>FaD008-2d7d</t>
  </si>
  <si>
    <t>FaD009-2d7d</t>
  </si>
  <si>
    <t>Criar um calendário de aniversários e datas especiais da família.</t>
  </si>
  <si>
    <t>FaD010-2d7d</t>
  </si>
  <si>
    <t>FaD011-2d7d</t>
  </si>
  <si>
    <t>FaD012-2d7d</t>
  </si>
  <si>
    <t>FaA001-1s2s</t>
  </si>
  <si>
    <t>Montar orçamento doméstico básico e acompanhar.</t>
  </si>
  <si>
    <t>FaA002-1s2s</t>
  </si>
  <si>
    <t>Medir e reduzir discussões recorrentes com técnicas de mediação e reflexão</t>
  </si>
  <si>
    <t>FaA003-1s2s</t>
  </si>
  <si>
    <t>FaA004-1s2s</t>
  </si>
  <si>
    <t>Acompanhar um irmão/parentesco em rotina de estudos.</t>
  </si>
  <si>
    <t>FaA005-1s2s</t>
  </si>
  <si>
    <t>Desenvolver um manual de tarefas domésticas compartilhado.</t>
  </si>
  <si>
    <t>FaA006-1s2s</t>
  </si>
  <si>
    <t>FaA007-1s2s</t>
  </si>
  <si>
    <t>Organizar um encontro de gerações e registrar histórias, com os pais e/ou avós..</t>
  </si>
  <si>
    <t>FaA008-1s2s</t>
  </si>
  <si>
    <t>FaA009-1s2s</t>
  </si>
  <si>
    <t>Praticar organização do tempo: bloco de atividades familiares.</t>
  </si>
  <si>
    <t>FaA010-1s2s</t>
  </si>
  <si>
    <t>Conduzir um plano de oração por familiares específicos, com auxílio de uma lista.</t>
  </si>
  <si>
    <t>FaA011-1s2s</t>
  </si>
  <si>
    <t>FaA012-1s2s</t>
  </si>
  <si>
    <t>Estabelecer uma noite de jogos sem telas em família.</t>
  </si>
  <si>
    <t>FaA013-1s3s</t>
  </si>
  <si>
    <t>Criar um álbum digital com fotos significativas e legendas.</t>
  </si>
  <si>
    <t>FaA014-1s2s</t>
  </si>
  <si>
    <t>FaA015-1s2s</t>
  </si>
  <si>
    <t>Convidar alguém novo para almoçar,lazer ou estudar junto.</t>
  </si>
  <si>
    <t>Estar atento para evitar fofocas quando se trata de conversas a respeito de outra pessoa</t>
  </si>
  <si>
    <t>Planejar e cumprir um dia sem redes sociais com um amigo.</t>
  </si>
  <si>
    <t>Ler, pelo menos, um verso bíblico curto por dia.</t>
  </si>
  <si>
    <t>Cumprimentar calorosamente alguém da minha igreja que eu não conheço bem.</t>
  </si>
  <si>
    <t>Ajudar na limpeza/arrumação após um programa/culto na igreja</t>
  </si>
  <si>
    <t>Elaborar e cumprir plano de leitura bíblica diário.</t>
  </si>
  <si>
    <t>Servir em ministério infantil por 6 sábados seguidos.</t>
  </si>
  <si>
    <t>2d7d = 2 vezes por dia por 7 dias | 1s2s = 1 vez por semana por 2 semanas | 0d3d = dia inteiro por 3 dias | 0d0d - ficar atento para a primeira oportunidade  | 1d1d - pelo menos uma vez na primeira oportunidade</t>
  </si>
  <si>
    <t>FreqNum/Unid</t>
  </si>
  <si>
    <t>Quantas vezes (Num) por tempo (Unid) - Ex. Uma vez por dia ou duas vezes por semana</t>
  </si>
  <si>
    <t>em uma cadência de (Num) tempo (Unid) - Ex. De três em três (Num) dias (Unid)</t>
  </si>
  <si>
    <t>Duracao Num/Unid</t>
  </si>
  <si>
    <t>Por um período de (Num) tempo (Unid) - Ex.: Por um período de duas (Num) semanas (Unid)</t>
  </si>
  <si>
    <t>Nivel</t>
  </si>
  <si>
    <t>OrdemNivel</t>
  </si>
  <si>
    <t>CadenciaNum/Unid</t>
  </si>
  <si>
    <t>Use apenas números inteiros (&gt;=0) para Freq/Cadencia/Período.</t>
  </si>
  <si>
    <t>CadenciaNum</t>
  </si>
  <si>
    <t>CadenciaUnid</t>
  </si>
  <si>
    <t>Descrição da Dosagem</t>
  </si>
  <si>
    <t>A coluna CODIGO é base (área+nivel+ordem); o sufixo será gerado após preenchimento.</t>
  </si>
  <si>
    <t>Preencha FreqNum/Unid (colunas G/H), CadenciaNum/Unid (colunas I/J – opcional) e PeriodoNum/Unid (colunas K/L).  Cadência sem valor significa "não se aplica"</t>
  </si>
  <si>
    <t>Ordem Área</t>
  </si>
  <si>
    <t>Segue a sequência das Abas da esquerda (Familia=1) para a direita, consecutivamente até Igreja=6</t>
  </si>
  <si>
    <t>Ordem Nível</t>
  </si>
  <si>
    <t>1 = Básico, 2 = Desafio e 3 = Avançado</t>
  </si>
  <si>
    <t>Ordem Estratégia</t>
  </si>
  <si>
    <t>Pela sequencia do registro, por linha, apenas dentro do nível. Ex.: A primeira linha do nível básico = , até a última estratégia do nível básico = 10. Zera para iniciar o nivel Desafio, 1 a 12, e nível Avançado, 1 a 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</si>
</sst>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1" fontId="0" fillId="0" borderId="1" xfId="0" applyNumberFormat="1" applyBorder="1"/>
    <xf numFmtId="0" fontId="2" fillId="0" borderId="0" xfId="0" applyFont="1"/>
    <xf numFmtId="0" fontId="1" fillId="2" borderId="1" xfId="0" applyFont="1" applyFill="1" applyBorder="1" applyAlignment="1">
      <alignment textRotation="90"/>
    </xf>
    <xf numFmtId="0" fontId="0" fillId="0" borderId="0" xfId="0" applyAlignment="1">
      <alignment textRotation="90"/>
    </xf>
    <xf numFmtId="0" fontId="1" fillId="2" borderId="1" xfId="0" applyFont="1" applyFill="1" applyBorder="1" applyAlignment="1">
      <alignment horizontal="center" textRotation="90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 textRotation="90"/>
    </xf>
    <xf numFmtId="0" fontId="1" fillId="0" borderId="1" xfId="0" applyFont="1" applyBorder="1" applyAlignment="1">
      <alignment horizontal="center" vertical="top" textRotation="90" wrapText="1"/>
    </xf>
    <xf numFmtId="0" fontId="1" fillId="0" borderId="1" xfId="0" applyFont="1" applyBorder="1" applyAlignment="1">
      <alignment horizontal="center" textRotation="90" wrapText="1"/>
    </xf>
    <xf numFmtId="0" fontId="1" fillId="2" borderId="1" xfId="0" applyFont="1" applyFill="1" applyBorder="1" applyAlignment="1">
      <alignment textRotation="90" wrapText="1"/>
    </xf>
    <xf numFmtId="0" fontId="1" fillId="2" borderId="1" xfId="0" applyFont="1" applyFill="1" applyBorder="1" applyAlignment="1">
      <alignment horizontal="center" textRotation="90" wrapText="1"/>
    </xf>
    <xf numFmtId="0" fontId="0" fillId="0" borderId="0" xfId="0" applyAlignment="1">
      <alignment textRotation="90" wrapText="1"/>
    </xf>
    <xf numFmtId="0" fontId="0" fillId="0" borderId="0" xfId="0" applyAlignment="1">
      <alignment wrapText="1"/>
    </xf>
    <xf numFmtId="0" fontId="1" fillId="3" borderId="1" xfId="0" applyFont="1" applyFill="1" applyBorder="1" applyAlignment="1">
      <alignment horizontal="center" vertical="top" textRotation="90" wrapText="1"/>
    </xf>
    <xf numFmtId="0" fontId="0" fillId="3" borderId="0" xfId="0" applyFill="1"/>
    <xf numFmtId="0" fontId="0" fillId="3" borderId="1" xfId="0" applyFill="1" applyBorder="1" applyAlignment="1">
      <alignment horizontal="center"/>
    </xf>
    <xf numFmtId="0" fontId="1" fillId="0" borderId="2" xfId="0" applyFont="1" applyBorder="1" applyAlignment="1">
      <alignment horizontal="center" vertical="top" textRotation="90"/>
    </xf>
    <xf numFmtId="0" fontId="0" fillId="0" borderId="0" xfId="0" applyAlignment="1">
      <alignment horizontal="right"/>
    </xf>
    <xf numFmtId="0" fontId="3" fillId="0" borderId="1" xfId="0" applyFont="1" applyBorder="1" applyAlignment="1">
      <alignment horizontal="center" vertical="top" textRotation="9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B8" sqref="B8"/>
    </sheetView>
  </sheetViews>
  <sheetFormatPr defaultRowHeight="15" x14ac:dyDescent="0.25"/>
  <cols>
    <col min="1" max="1" width="20.7109375" customWidth="1"/>
    <col min="2" max="2" width="90.7109375" customWidth="1"/>
    <col min="3" max="3" width="120.7109375" customWidth="1"/>
    <col min="4" max="14" width="18.7109375" customWidth="1"/>
  </cols>
  <sheetData>
    <row r="1" spans="1:2" x14ac:dyDescent="0.25">
      <c r="A1" s="1" t="s">
        <v>0</v>
      </c>
    </row>
    <row r="2" spans="1:2" ht="30" x14ac:dyDescent="0.25">
      <c r="A2" t="s">
        <v>1</v>
      </c>
      <c r="B2" s="17" t="s">
        <v>309</v>
      </c>
    </row>
    <row r="3" spans="1:2" x14ac:dyDescent="0.25">
      <c r="A3" s="22" t="s">
        <v>296</v>
      </c>
      <c r="B3" t="s">
        <v>297</v>
      </c>
    </row>
    <row r="4" spans="1:2" x14ac:dyDescent="0.25">
      <c r="A4" s="22" t="s">
        <v>303</v>
      </c>
      <c r="B4" t="s">
        <v>298</v>
      </c>
    </row>
    <row r="5" spans="1:2" x14ac:dyDescent="0.25">
      <c r="A5" s="22" t="s">
        <v>299</v>
      </c>
      <c r="B5" t="s">
        <v>300</v>
      </c>
    </row>
    <row r="6" spans="1:2" x14ac:dyDescent="0.25">
      <c r="A6" s="22" t="s">
        <v>310</v>
      </c>
      <c r="B6" t="s">
        <v>311</v>
      </c>
    </row>
    <row r="7" spans="1:2" x14ac:dyDescent="0.25">
      <c r="A7" s="22" t="s">
        <v>312</v>
      </c>
      <c r="B7" t="s">
        <v>313</v>
      </c>
    </row>
    <row r="8" spans="1:2" x14ac:dyDescent="0.25">
      <c r="A8" s="22" t="s">
        <v>314</v>
      </c>
      <c r="B8" t="s">
        <v>315</v>
      </c>
    </row>
    <row r="9" spans="1:2" x14ac:dyDescent="0.25">
      <c r="A9" s="22"/>
    </row>
    <row r="10" spans="1:2" x14ac:dyDescent="0.25">
      <c r="A10" t="s">
        <v>2</v>
      </c>
      <c r="B10" t="s">
        <v>3</v>
      </c>
    </row>
    <row r="11" spans="1:2" x14ac:dyDescent="0.25">
      <c r="A11" t="s">
        <v>4</v>
      </c>
      <c r="B11" t="s">
        <v>5</v>
      </c>
    </row>
    <row r="12" spans="1:2" x14ac:dyDescent="0.25">
      <c r="A12" t="s">
        <v>6</v>
      </c>
      <c r="B12" t="s">
        <v>308</v>
      </c>
    </row>
    <row r="13" spans="1:2" x14ac:dyDescent="0.25">
      <c r="A13" t="s">
        <v>7</v>
      </c>
      <c r="B13" t="s">
        <v>8</v>
      </c>
    </row>
    <row r="14" spans="1:2" x14ac:dyDescent="0.25">
      <c r="A14" t="s">
        <v>9</v>
      </c>
      <c r="B14" t="s">
        <v>304</v>
      </c>
    </row>
    <row r="15" spans="1:2" x14ac:dyDescent="0.25">
      <c r="A15" t="s">
        <v>10</v>
      </c>
      <c r="B15" t="s">
        <v>295</v>
      </c>
    </row>
    <row r="19" spans="1:3" x14ac:dyDescent="0.25">
      <c r="A19" s="1" t="s">
        <v>11</v>
      </c>
      <c r="B19" s="1" t="s">
        <v>12</v>
      </c>
      <c r="C19" s="1" t="s">
        <v>13</v>
      </c>
    </row>
    <row r="20" spans="1:3" x14ac:dyDescent="0.25">
      <c r="A20" t="s">
        <v>14</v>
      </c>
      <c r="B20">
        <v>37</v>
      </c>
      <c r="C20">
        <v>3</v>
      </c>
    </row>
    <row r="21" spans="1:3" x14ac:dyDescent="0.25">
      <c r="A21" t="s">
        <v>15</v>
      </c>
      <c r="B21">
        <v>37</v>
      </c>
      <c r="C21">
        <v>3</v>
      </c>
    </row>
    <row r="22" spans="1:3" x14ac:dyDescent="0.25">
      <c r="A22" t="s">
        <v>16</v>
      </c>
      <c r="B22">
        <v>37</v>
      </c>
      <c r="C22">
        <v>3</v>
      </c>
    </row>
    <row r="23" spans="1:3" x14ac:dyDescent="0.25">
      <c r="A23" t="s">
        <v>17</v>
      </c>
      <c r="B23">
        <v>37</v>
      </c>
      <c r="C23">
        <v>3</v>
      </c>
    </row>
    <row r="24" spans="1:3" x14ac:dyDescent="0.25">
      <c r="A24" t="s">
        <v>18</v>
      </c>
      <c r="B24">
        <v>37</v>
      </c>
      <c r="C24">
        <v>3</v>
      </c>
    </row>
    <row r="25" spans="1:3" x14ac:dyDescent="0.25">
      <c r="A25" t="s">
        <v>19</v>
      </c>
      <c r="B25">
        <v>37</v>
      </c>
      <c r="C25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"/>
  <sheetViews>
    <sheetView workbookViewId="0"/>
  </sheetViews>
  <sheetFormatPr defaultRowHeight="15" x14ac:dyDescent="0.25"/>
  <sheetData>
    <row r="1" spans="1:2" x14ac:dyDescent="0.25">
      <c r="A1" t="s">
        <v>20</v>
      </c>
      <c r="B1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0"/>
  <sheetViews>
    <sheetView workbookViewId="0">
      <pane ySplit="1" topLeftCell="A2" activePane="bottomLeft" state="frozen"/>
      <selection pane="bottomLeft" activeCell="J1" sqref="I1:J1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85.28515625" bestFit="1" customWidth="1"/>
    <col min="4" max="6" width="3.7109375" bestFit="1" customWidth="1"/>
    <col min="7" max="12" width="3.7109375" style="19" bestFit="1" customWidth="1"/>
    <col min="13" max="13" width="12.28515625" bestFit="1" customWidth="1"/>
    <col min="14" max="14" width="3.7109375" bestFit="1" customWidth="1"/>
    <col min="15" max="15" width="55.28515625" bestFit="1" customWidth="1"/>
  </cols>
  <sheetData>
    <row r="1" spans="1:15" ht="109.5" x14ac:dyDescent="0.25">
      <c r="A1" s="12" t="s">
        <v>22</v>
      </c>
      <c r="B1" s="12" t="s">
        <v>301</v>
      </c>
      <c r="C1" s="12" t="s">
        <v>23</v>
      </c>
      <c r="D1" s="12" t="s">
        <v>24</v>
      </c>
      <c r="E1" s="12" t="s">
        <v>302</v>
      </c>
      <c r="F1" s="12" t="s">
        <v>25</v>
      </c>
      <c r="G1" s="18" t="s">
        <v>26</v>
      </c>
      <c r="H1" s="18" t="s">
        <v>27</v>
      </c>
      <c r="I1" s="23" t="s">
        <v>305</v>
      </c>
      <c r="J1" s="23" t="s">
        <v>306</v>
      </c>
      <c r="K1" s="18" t="s">
        <v>28</v>
      </c>
      <c r="L1" s="18" t="s">
        <v>29</v>
      </c>
      <c r="M1" s="12" t="s">
        <v>30</v>
      </c>
      <c r="N1" s="11" t="s">
        <v>31</v>
      </c>
      <c r="O1" s="13" t="s">
        <v>307</v>
      </c>
    </row>
    <row r="2" spans="1:15" x14ac:dyDescent="0.25">
      <c r="A2" s="2" t="s">
        <v>14</v>
      </c>
      <c r="B2" s="2" t="s">
        <v>32</v>
      </c>
      <c r="C2" s="2" t="s">
        <v>33</v>
      </c>
      <c r="D2" s="9">
        <v>1</v>
      </c>
      <c r="E2" s="9">
        <v>1</v>
      </c>
      <c r="F2" s="9">
        <v>1</v>
      </c>
      <c r="G2" s="20">
        <v>1</v>
      </c>
      <c r="H2" s="20" t="s">
        <v>20</v>
      </c>
      <c r="I2" s="20"/>
      <c r="J2" s="20"/>
      <c r="K2" s="20">
        <v>2</v>
      </c>
      <c r="L2" s="20" t="s">
        <v>20</v>
      </c>
      <c r="M2" s="9" t="str">
        <f>LEFT(A2,2)&amp;LEFT(B2,1)&amp;TEXT(F2,"000")&amp;"-"&amp;(G2)&amp;H2&amp;(K2)&amp;L2</f>
        <v>FaB001-1d2d</v>
      </c>
      <c r="N2" s="9">
        <f>IF(B2="Básico",1,IF(B2="Desafio",2,IF(B2="Avançado",3)))</f>
        <v>1</v>
      </c>
      <c r="O2" s="2" t="str">
        <f>IF(
  AND(G2="",H2="",I2="",J2="",K2="",L2=""),
  "Fique atento para a primeira oportunidade que surgir",
  IF(AND(G2=0,LOWER(H2)="d",K2=0,LOWER(L2)="d"),
     "Fique atento para a primeira oportunidade que surgir",
     IF(AND(G2=1,LOWER(H2)="d",K2=1,LOWER(L2)="d"),
        "Pelo menos uma vez",
        IF(G2=0,"O dia inteiro",IF(G2=1,"Uma vez",TEXT(G2,"0")&amp;" vezes")&amp;" por "&amp;IF(LOWER(H2)="d","dia","semana"))
        &amp;IF(AND(ISNUMBER(I2),I2&gt;0),", a cada "&amp;TEXT(I2,"0")&amp;" "&amp;IF(I2=1,IF(LOWER(J2)="d","dia","semana"),IF(LOWER(J2)="d","dias","semanas"))&amp;",","")
        &amp;" por um período de "&amp;TEXT(K2,"0")&amp;" "&amp;IF(K2=1,IF(LOWER(L2)="d","dia","semana"),IF(LOWER(L2)="d","dias","semanas"))
     )
  )
)</f>
        <v>Uma vez por dia por um período de 2 dias</v>
      </c>
    </row>
    <row r="3" spans="1:15" x14ac:dyDescent="0.25">
      <c r="A3" s="2" t="s">
        <v>14</v>
      </c>
      <c r="B3" s="2" t="s">
        <v>32</v>
      </c>
      <c r="C3" s="2" t="s">
        <v>236</v>
      </c>
      <c r="D3" s="9">
        <v>1</v>
      </c>
      <c r="E3" s="9">
        <v>1</v>
      </c>
      <c r="F3" s="9">
        <v>2</v>
      </c>
      <c r="G3" s="20">
        <v>1</v>
      </c>
      <c r="H3" s="20" t="s">
        <v>20</v>
      </c>
      <c r="I3" s="20"/>
      <c r="J3" s="20"/>
      <c r="K3" s="20">
        <v>3</v>
      </c>
      <c r="L3" s="20" t="s">
        <v>20</v>
      </c>
      <c r="M3" s="9" t="s">
        <v>237</v>
      </c>
      <c r="N3" s="9">
        <f t="shared" ref="N3:N38" si="0">IF(B3="Básico",1,IF(B3="Desafio",2,IF(B3="Avançado",3)))</f>
        <v>1</v>
      </c>
      <c r="O3" s="2" t="str">
        <f t="shared" ref="O3:O38" si="1">IF(
  AND(G3="",H3="",I3="",J3="",K3="",L3=""),
  "Fique atento para a primeira oportunidade que surgir",
  IF(AND(G3=0,LOWER(H3)="d",K3=0,LOWER(L3)="d"),
     "Fique atento para a primeira oportunidade que surgir",
     IF(AND(G3=1,LOWER(H3)="d",K3=1,LOWER(L3)="d"),
        "Pelo menos uma vez",
        IF(G3=0,"O dia inteiro",IF(G3=1,"Uma vez",TEXT(G3,"0")&amp;" vezes")&amp;" por "&amp;IF(LOWER(H3)="d","dia","semana"))
        &amp;IF(AND(ISNUMBER(I3),I3&gt;0),", a cada "&amp;TEXT(I3,"0")&amp;" "&amp;IF(I3=1,IF(LOWER(J3)="d","dia","semana"),IF(LOWER(J3)="d","dias","semanas"))&amp;",","")
        &amp;" por um período de "&amp;TEXT(K3,"0")&amp;" "&amp;IF(K3=1,IF(LOWER(L3)="d","dia","semana"),IF(LOWER(L3)="d","dias","semanas"))
     )
  )
)</f>
        <v>Uma vez por dia por um período de 3 dias</v>
      </c>
    </row>
    <row r="4" spans="1:15" x14ac:dyDescent="0.25">
      <c r="A4" s="2" t="s">
        <v>14</v>
      </c>
      <c r="B4" s="2" t="s">
        <v>32</v>
      </c>
      <c r="C4" s="2" t="s">
        <v>34</v>
      </c>
      <c r="D4" s="9">
        <v>1</v>
      </c>
      <c r="E4" s="9">
        <v>1</v>
      </c>
      <c r="F4" s="9">
        <v>3</v>
      </c>
      <c r="G4" s="20">
        <v>1</v>
      </c>
      <c r="H4" s="20" t="s">
        <v>20</v>
      </c>
      <c r="I4" s="20"/>
      <c r="J4" s="20"/>
      <c r="K4" s="20">
        <v>2</v>
      </c>
      <c r="L4" s="20" t="s">
        <v>20</v>
      </c>
      <c r="M4" s="9" t="s">
        <v>238</v>
      </c>
      <c r="N4" s="9">
        <f t="shared" si="0"/>
        <v>1</v>
      </c>
      <c r="O4" s="2" t="str">
        <f t="shared" si="1"/>
        <v>Uma vez por dia por um período de 2 dias</v>
      </c>
    </row>
    <row r="5" spans="1:15" x14ac:dyDescent="0.25">
      <c r="A5" s="2" t="s">
        <v>14</v>
      </c>
      <c r="B5" s="2" t="s">
        <v>32</v>
      </c>
      <c r="C5" s="2" t="s">
        <v>35</v>
      </c>
      <c r="D5" s="9">
        <v>1</v>
      </c>
      <c r="E5" s="9">
        <v>1</v>
      </c>
      <c r="F5" s="9">
        <v>4</v>
      </c>
      <c r="G5" s="20">
        <v>2</v>
      </c>
      <c r="H5" s="20" t="s">
        <v>20</v>
      </c>
      <c r="I5" s="20"/>
      <c r="J5" s="20"/>
      <c r="K5" s="20">
        <v>4</v>
      </c>
      <c r="L5" s="20" t="s">
        <v>20</v>
      </c>
      <c r="M5" s="9" t="s">
        <v>239</v>
      </c>
      <c r="N5" s="9">
        <f t="shared" si="0"/>
        <v>1</v>
      </c>
      <c r="O5" s="2" t="str">
        <f t="shared" si="1"/>
        <v>2 vezes por dia por um período de 4 dias</v>
      </c>
    </row>
    <row r="6" spans="1:15" x14ac:dyDescent="0.25">
      <c r="A6" s="2" t="s">
        <v>14</v>
      </c>
      <c r="B6" s="2" t="s">
        <v>32</v>
      </c>
      <c r="C6" s="2" t="s">
        <v>36</v>
      </c>
      <c r="D6" s="9">
        <v>1</v>
      </c>
      <c r="E6" s="9">
        <v>1</v>
      </c>
      <c r="F6" s="9">
        <v>5</v>
      </c>
      <c r="G6" s="20">
        <v>0</v>
      </c>
      <c r="H6" s="20" t="s">
        <v>20</v>
      </c>
      <c r="I6" s="20"/>
      <c r="J6" s="20"/>
      <c r="K6" s="20">
        <v>7</v>
      </c>
      <c r="L6" s="20" t="s">
        <v>20</v>
      </c>
      <c r="M6" s="9" t="s">
        <v>240</v>
      </c>
      <c r="N6" s="9">
        <f t="shared" si="0"/>
        <v>1</v>
      </c>
      <c r="O6" s="2" t="str">
        <f t="shared" si="1"/>
        <v>O dia inteiro por um período de 7 dias</v>
      </c>
    </row>
    <row r="7" spans="1:15" x14ac:dyDescent="0.25">
      <c r="A7" s="2" t="s">
        <v>14</v>
      </c>
      <c r="B7" s="2" t="s">
        <v>32</v>
      </c>
      <c r="C7" s="2" t="s">
        <v>37</v>
      </c>
      <c r="D7" s="9">
        <v>1</v>
      </c>
      <c r="E7" s="9">
        <v>1</v>
      </c>
      <c r="F7" s="9">
        <v>6</v>
      </c>
      <c r="G7" s="20">
        <v>1</v>
      </c>
      <c r="H7" s="20" t="s">
        <v>20</v>
      </c>
      <c r="I7" s="20">
        <v>2</v>
      </c>
      <c r="J7" s="20" t="s">
        <v>20</v>
      </c>
      <c r="K7" s="20">
        <v>7</v>
      </c>
      <c r="L7" s="20" t="s">
        <v>20</v>
      </c>
      <c r="M7" s="9" t="s">
        <v>241</v>
      </c>
      <c r="N7" s="9">
        <f t="shared" si="0"/>
        <v>1</v>
      </c>
      <c r="O7" s="2" t="str">
        <f t="shared" si="1"/>
        <v>Uma vez por dia, a cada 2 dias, por um período de 7 dias</v>
      </c>
    </row>
    <row r="8" spans="1:15" x14ac:dyDescent="0.25">
      <c r="A8" s="2" t="s">
        <v>14</v>
      </c>
      <c r="B8" s="2" t="s">
        <v>32</v>
      </c>
      <c r="C8" s="2" t="s">
        <v>38</v>
      </c>
      <c r="D8" s="9">
        <v>1</v>
      </c>
      <c r="E8" s="9">
        <v>1</v>
      </c>
      <c r="F8" s="9">
        <v>7</v>
      </c>
      <c r="G8" s="20">
        <v>1</v>
      </c>
      <c r="H8" s="20" t="s">
        <v>20</v>
      </c>
      <c r="I8" s="20">
        <v>3</v>
      </c>
      <c r="J8" s="20" t="s">
        <v>20</v>
      </c>
      <c r="K8" s="20">
        <v>6</v>
      </c>
      <c r="L8" s="20" t="s">
        <v>20</v>
      </c>
      <c r="M8" s="9" t="s">
        <v>242</v>
      </c>
      <c r="N8" s="9">
        <f t="shared" si="0"/>
        <v>1</v>
      </c>
      <c r="O8" s="2" t="str">
        <f t="shared" si="1"/>
        <v>Uma vez por dia, a cada 3 dias, por um período de 6 dias</v>
      </c>
    </row>
    <row r="9" spans="1:15" x14ac:dyDescent="0.25">
      <c r="A9" s="2" t="s">
        <v>14</v>
      </c>
      <c r="B9" s="2" t="s">
        <v>32</v>
      </c>
      <c r="C9" s="2" t="s">
        <v>39</v>
      </c>
      <c r="D9" s="9">
        <v>1</v>
      </c>
      <c r="E9" s="9">
        <v>1</v>
      </c>
      <c r="F9" s="9">
        <v>8</v>
      </c>
      <c r="G9" s="20">
        <v>1</v>
      </c>
      <c r="H9" s="20" t="s">
        <v>20</v>
      </c>
      <c r="I9" s="20"/>
      <c r="J9" s="20"/>
      <c r="K9" s="20">
        <v>7</v>
      </c>
      <c r="L9" s="20" t="s">
        <v>20</v>
      </c>
      <c r="M9" s="9" t="s">
        <v>243</v>
      </c>
      <c r="N9" s="9">
        <f t="shared" si="0"/>
        <v>1</v>
      </c>
      <c r="O9" s="2" t="str">
        <f t="shared" si="1"/>
        <v>Uma vez por dia por um período de 7 dias</v>
      </c>
    </row>
    <row r="10" spans="1:15" x14ac:dyDescent="0.25">
      <c r="A10" s="2" t="s">
        <v>14</v>
      </c>
      <c r="B10" s="2" t="s">
        <v>32</v>
      </c>
      <c r="C10" s="2" t="s">
        <v>244</v>
      </c>
      <c r="D10" s="9">
        <v>1</v>
      </c>
      <c r="E10" s="9">
        <v>1</v>
      </c>
      <c r="F10" s="9">
        <v>9</v>
      </c>
      <c r="G10" s="20">
        <v>1</v>
      </c>
      <c r="H10" s="20" t="s">
        <v>20</v>
      </c>
      <c r="I10" s="20">
        <v>2</v>
      </c>
      <c r="J10" s="20" t="s">
        <v>20</v>
      </c>
      <c r="K10" s="20">
        <v>6</v>
      </c>
      <c r="L10" s="20" t="s">
        <v>20</v>
      </c>
      <c r="M10" s="9" t="s">
        <v>245</v>
      </c>
      <c r="N10" s="9">
        <f t="shared" si="0"/>
        <v>1</v>
      </c>
      <c r="O10" s="2" t="str">
        <f t="shared" si="1"/>
        <v>Uma vez por dia, a cada 2 dias, por um período de 6 dias</v>
      </c>
    </row>
    <row r="11" spans="1:15" x14ac:dyDescent="0.25">
      <c r="A11" s="2" t="s">
        <v>14</v>
      </c>
      <c r="B11" s="2" t="s">
        <v>32</v>
      </c>
      <c r="C11" s="2" t="s">
        <v>40</v>
      </c>
      <c r="D11" s="9">
        <v>1</v>
      </c>
      <c r="E11" s="9">
        <v>1</v>
      </c>
      <c r="F11" s="9">
        <v>10</v>
      </c>
      <c r="G11" s="20">
        <v>1</v>
      </c>
      <c r="H11" s="20" t="s">
        <v>20</v>
      </c>
      <c r="I11" s="20">
        <v>3</v>
      </c>
      <c r="J11" s="20" t="s">
        <v>20</v>
      </c>
      <c r="K11" s="20">
        <v>6</v>
      </c>
      <c r="L11" s="20" t="s">
        <v>20</v>
      </c>
      <c r="M11" s="9" t="s">
        <v>246</v>
      </c>
      <c r="N11" s="9">
        <f t="shared" si="0"/>
        <v>1</v>
      </c>
      <c r="O11" s="2" t="str">
        <f t="shared" si="1"/>
        <v>Uma vez por dia, a cada 3 dias, por um período de 6 dias</v>
      </c>
    </row>
    <row r="12" spans="1:15" x14ac:dyDescent="0.25">
      <c r="A12" s="2" t="s">
        <v>14</v>
      </c>
      <c r="B12" s="2" t="s">
        <v>41</v>
      </c>
      <c r="C12" s="2" t="s">
        <v>42</v>
      </c>
      <c r="D12" s="9">
        <v>1</v>
      </c>
      <c r="E12" s="9">
        <v>2</v>
      </c>
      <c r="F12" s="9">
        <v>1</v>
      </c>
      <c r="G12" s="20">
        <v>1</v>
      </c>
      <c r="H12" s="20" t="s">
        <v>20</v>
      </c>
      <c r="I12" s="20"/>
      <c r="J12" s="20"/>
      <c r="K12" s="20">
        <v>1</v>
      </c>
      <c r="L12" s="20" t="s">
        <v>20</v>
      </c>
      <c r="M12" s="9" t="s">
        <v>247</v>
      </c>
      <c r="N12" s="9">
        <f t="shared" si="0"/>
        <v>2</v>
      </c>
      <c r="O12" s="2" t="str">
        <f t="shared" si="1"/>
        <v>Pelo menos uma vez</v>
      </c>
    </row>
    <row r="13" spans="1:15" x14ac:dyDescent="0.25">
      <c r="A13" s="2" t="s">
        <v>14</v>
      </c>
      <c r="B13" s="2" t="s">
        <v>41</v>
      </c>
      <c r="C13" s="2" t="s">
        <v>43</v>
      </c>
      <c r="D13" s="9">
        <v>1</v>
      </c>
      <c r="E13" s="9">
        <v>2</v>
      </c>
      <c r="F13" s="9">
        <v>2</v>
      </c>
      <c r="G13" s="20">
        <v>1</v>
      </c>
      <c r="H13" s="20" t="s">
        <v>21</v>
      </c>
      <c r="I13" s="20"/>
      <c r="J13" s="20"/>
      <c r="K13" s="20">
        <v>2</v>
      </c>
      <c r="L13" s="20" t="s">
        <v>21</v>
      </c>
      <c r="M13" s="9" t="s">
        <v>248</v>
      </c>
      <c r="N13" s="9">
        <f t="shared" si="0"/>
        <v>2</v>
      </c>
      <c r="O13" s="2" t="str">
        <f t="shared" si="1"/>
        <v>Uma vez por semana por um período de 2 semanas</v>
      </c>
    </row>
    <row r="14" spans="1:15" x14ac:dyDescent="0.25">
      <c r="A14" s="2" t="s">
        <v>14</v>
      </c>
      <c r="B14" s="2" t="s">
        <v>41</v>
      </c>
      <c r="C14" s="2" t="s">
        <v>249</v>
      </c>
      <c r="D14" s="9">
        <v>1</v>
      </c>
      <c r="E14" s="9">
        <v>2</v>
      </c>
      <c r="F14" s="9">
        <v>3</v>
      </c>
      <c r="G14" s="20">
        <v>1</v>
      </c>
      <c r="H14" s="20" t="s">
        <v>21</v>
      </c>
      <c r="I14" s="20"/>
      <c r="J14" s="20"/>
      <c r="K14" s="20">
        <v>1</v>
      </c>
      <c r="L14" s="20" t="s">
        <v>21</v>
      </c>
      <c r="M14" s="9" t="s">
        <v>250</v>
      </c>
      <c r="N14" s="9">
        <f t="shared" si="0"/>
        <v>2</v>
      </c>
      <c r="O14" s="2" t="str">
        <f t="shared" si="1"/>
        <v>Uma vez por semana por um período de 1 semana</v>
      </c>
    </row>
    <row r="15" spans="1:15" x14ac:dyDescent="0.25">
      <c r="A15" s="2" t="s">
        <v>14</v>
      </c>
      <c r="B15" s="2" t="s">
        <v>41</v>
      </c>
      <c r="C15" s="2" t="s">
        <v>44</v>
      </c>
      <c r="D15" s="9">
        <v>1</v>
      </c>
      <c r="E15" s="9">
        <v>2</v>
      </c>
      <c r="F15" s="9">
        <v>4</v>
      </c>
      <c r="G15" s="20">
        <v>1</v>
      </c>
      <c r="H15" s="20" t="s">
        <v>20</v>
      </c>
      <c r="I15" s="20"/>
      <c r="J15" s="20"/>
      <c r="K15" s="20">
        <v>2</v>
      </c>
      <c r="L15" s="20" t="s">
        <v>20</v>
      </c>
      <c r="M15" s="9" t="s">
        <v>251</v>
      </c>
      <c r="N15" s="9">
        <f t="shared" si="0"/>
        <v>2</v>
      </c>
      <c r="O15" s="2" t="str">
        <f t="shared" si="1"/>
        <v>Uma vez por dia por um período de 2 dias</v>
      </c>
    </row>
    <row r="16" spans="1:15" x14ac:dyDescent="0.25">
      <c r="A16" s="2" t="s">
        <v>14</v>
      </c>
      <c r="B16" s="2" t="s">
        <v>41</v>
      </c>
      <c r="C16" s="2" t="s">
        <v>252</v>
      </c>
      <c r="D16" s="9">
        <v>1</v>
      </c>
      <c r="E16" s="9">
        <v>2</v>
      </c>
      <c r="F16" s="9">
        <v>5</v>
      </c>
      <c r="G16" s="20">
        <v>1</v>
      </c>
      <c r="H16" s="20" t="s">
        <v>20</v>
      </c>
      <c r="I16" s="20"/>
      <c r="J16" s="20"/>
      <c r="K16" s="20">
        <v>1</v>
      </c>
      <c r="L16" s="20" t="s">
        <v>21</v>
      </c>
      <c r="M16" s="9" t="s">
        <v>253</v>
      </c>
      <c r="N16" s="9">
        <f t="shared" si="0"/>
        <v>2</v>
      </c>
      <c r="O16" s="2" t="str">
        <f t="shared" si="1"/>
        <v>Uma vez por dia por um período de 1 semana</v>
      </c>
    </row>
    <row r="17" spans="1:15" x14ac:dyDescent="0.25">
      <c r="A17" s="2" t="s">
        <v>14</v>
      </c>
      <c r="B17" s="2" t="s">
        <v>41</v>
      </c>
      <c r="C17" s="2" t="s">
        <v>254</v>
      </c>
      <c r="D17" s="9">
        <v>1</v>
      </c>
      <c r="E17" s="9">
        <v>2</v>
      </c>
      <c r="F17" s="9">
        <v>6</v>
      </c>
      <c r="G17" s="20">
        <v>1</v>
      </c>
      <c r="H17" s="20" t="s">
        <v>20</v>
      </c>
      <c r="I17" s="20"/>
      <c r="J17" s="20"/>
      <c r="K17" s="20">
        <v>7</v>
      </c>
      <c r="L17" s="20" t="s">
        <v>20</v>
      </c>
      <c r="M17" s="9" t="s">
        <v>255</v>
      </c>
      <c r="N17" s="9">
        <f t="shared" si="0"/>
        <v>2</v>
      </c>
      <c r="O17" s="2" t="str">
        <f t="shared" si="1"/>
        <v>Uma vez por dia por um período de 7 dias</v>
      </c>
    </row>
    <row r="18" spans="1:15" x14ac:dyDescent="0.25">
      <c r="A18" s="2" t="s">
        <v>14</v>
      </c>
      <c r="B18" s="2" t="s">
        <v>41</v>
      </c>
      <c r="C18" s="2" t="s">
        <v>45</v>
      </c>
      <c r="D18" s="9">
        <v>1</v>
      </c>
      <c r="E18" s="9">
        <v>2</v>
      </c>
      <c r="F18" s="9">
        <v>7</v>
      </c>
      <c r="G18" s="20">
        <v>1</v>
      </c>
      <c r="H18" s="20" t="s">
        <v>20</v>
      </c>
      <c r="I18" s="20">
        <v>3</v>
      </c>
      <c r="J18" s="20" t="s">
        <v>20</v>
      </c>
      <c r="K18" s="20">
        <v>2</v>
      </c>
      <c r="L18" s="20" t="s">
        <v>21</v>
      </c>
      <c r="M18" s="9" t="s">
        <v>256</v>
      </c>
      <c r="N18" s="9">
        <f t="shared" si="0"/>
        <v>2</v>
      </c>
      <c r="O18" s="2" t="str">
        <f t="shared" si="1"/>
        <v>Uma vez por dia, a cada 3 dias, por um período de 2 semanas</v>
      </c>
    </row>
    <row r="19" spans="1:15" x14ac:dyDescent="0.25">
      <c r="A19" s="2" t="s">
        <v>14</v>
      </c>
      <c r="B19" s="2" t="s">
        <v>41</v>
      </c>
      <c r="C19" s="2" t="s">
        <v>46</v>
      </c>
      <c r="D19" s="9">
        <v>1</v>
      </c>
      <c r="E19" s="9">
        <v>2</v>
      </c>
      <c r="F19" s="9">
        <v>8</v>
      </c>
      <c r="G19" s="20">
        <v>1</v>
      </c>
      <c r="H19" s="20" t="s">
        <v>20</v>
      </c>
      <c r="I19" s="20"/>
      <c r="J19" s="20"/>
      <c r="K19" s="20">
        <v>1</v>
      </c>
      <c r="L19" s="20" t="s">
        <v>20</v>
      </c>
      <c r="M19" s="9" t="s">
        <v>257</v>
      </c>
      <c r="N19" s="9">
        <f t="shared" si="0"/>
        <v>2</v>
      </c>
      <c r="O19" s="2" t="str">
        <f t="shared" si="1"/>
        <v>Pelo menos uma vez</v>
      </c>
    </row>
    <row r="20" spans="1:15" x14ac:dyDescent="0.25">
      <c r="A20" s="2" t="s">
        <v>14</v>
      </c>
      <c r="B20" s="2" t="s">
        <v>41</v>
      </c>
      <c r="C20" s="2" t="s">
        <v>47</v>
      </c>
      <c r="D20" s="9">
        <v>1</v>
      </c>
      <c r="E20" s="9">
        <v>2</v>
      </c>
      <c r="F20" s="9">
        <v>9</v>
      </c>
      <c r="G20" s="20">
        <v>1</v>
      </c>
      <c r="H20" s="20" t="s">
        <v>20</v>
      </c>
      <c r="I20" s="20"/>
      <c r="J20" s="20"/>
      <c r="K20" s="20">
        <v>7</v>
      </c>
      <c r="L20" s="20" t="s">
        <v>20</v>
      </c>
      <c r="M20" s="9" t="s">
        <v>258</v>
      </c>
      <c r="N20" s="9">
        <f t="shared" si="0"/>
        <v>2</v>
      </c>
      <c r="O20" s="2" t="str">
        <f t="shared" si="1"/>
        <v>Uma vez por dia por um período de 7 dias</v>
      </c>
    </row>
    <row r="21" spans="1:15" x14ac:dyDescent="0.25">
      <c r="A21" s="2" t="s">
        <v>14</v>
      </c>
      <c r="B21" s="2" t="s">
        <v>41</v>
      </c>
      <c r="C21" s="2" t="s">
        <v>259</v>
      </c>
      <c r="D21" s="9">
        <v>1</v>
      </c>
      <c r="E21" s="9">
        <v>2</v>
      </c>
      <c r="F21" s="9">
        <v>10</v>
      </c>
      <c r="G21" s="20">
        <v>1</v>
      </c>
      <c r="H21" s="20" t="s">
        <v>20</v>
      </c>
      <c r="I21" s="20"/>
      <c r="J21" s="20"/>
      <c r="K21" s="20">
        <v>1</v>
      </c>
      <c r="L21" s="20" t="s">
        <v>20</v>
      </c>
      <c r="M21" s="9" t="s">
        <v>260</v>
      </c>
      <c r="N21" s="9">
        <f t="shared" si="0"/>
        <v>2</v>
      </c>
      <c r="O21" s="2" t="str">
        <f t="shared" si="1"/>
        <v>Pelo menos uma vez</v>
      </c>
    </row>
    <row r="22" spans="1:15" x14ac:dyDescent="0.25">
      <c r="A22" s="2" t="s">
        <v>14</v>
      </c>
      <c r="B22" s="2" t="s">
        <v>41</v>
      </c>
      <c r="C22" s="2" t="s">
        <v>48</v>
      </c>
      <c r="D22" s="9">
        <v>1</v>
      </c>
      <c r="E22" s="9">
        <v>2</v>
      </c>
      <c r="F22" s="9">
        <v>11</v>
      </c>
      <c r="G22" s="20">
        <v>1</v>
      </c>
      <c r="H22" s="20" t="s">
        <v>20</v>
      </c>
      <c r="I22" s="20">
        <v>1</v>
      </c>
      <c r="J22" s="20" t="s">
        <v>20</v>
      </c>
      <c r="K22" s="20">
        <v>7</v>
      </c>
      <c r="L22" s="20" t="s">
        <v>20</v>
      </c>
      <c r="M22" s="9" t="s">
        <v>261</v>
      </c>
      <c r="N22" s="9">
        <f t="shared" si="0"/>
        <v>2</v>
      </c>
      <c r="O22" s="2" t="str">
        <f t="shared" si="1"/>
        <v>Uma vez por dia, a cada 1 dia, por um período de 7 dias</v>
      </c>
    </row>
    <row r="23" spans="1:15" x14ac:dyDescent="0.25">
      <c r="A23" s="2" t="s">
        <v>14</v>
      </c>
      <c r="B23" s="2" t="s">
        <v>41</v>
      </c>
      <c r="C23" s="2" t="s">
        <v>49</v>
      </c>
      <c r="D23" s="9">
        <v>1</v>
      </c>
      <c r="E23" s="9">
        <v>2</v>
      </c>
      <c r="F23" s="9">
        <v>12</v>
      </c>
      <c r="G23" s="20">
        <v>1</v>
      </c>
      <c r="H23" s="20" t="s">
        <v>20</v>
      </c>
      <c r="I23" s="20"/>
      <c r="J23" s="20"/>
      <c r="K23" s="20">
        <v>7</v>
      </c>
      <c r="L23" s="20" t="s">
        <v>20</v>
      </c>
      <c r="M23" s="9" t="s">
        <v>262</v>
      </c>
      <c r="N23" s="9">
        <f t="shared" si="0"/>
        <v>2</v>
      </c>
      <c r="O23" s="2" t="str">
        <f t="shared" si="1"/>
        <v>Uma vez por dia por um período de 7 dias</v>
      </c>
    </row>
    <row r="24" spans="1:15" x14ac:dyDescent="0.25">
      <c r="A24" s="2" t="s">
        <v>14</v>
      </c>
      <c r="B24" s="2" t="s">
        <v>50</v>
      </c>
      <c r="C24" s="2" t="s">
        <v>51</v>
      </c>
      <c r="D24" s="9">
        <v>1</v>
      </c>
      <c r="E24" s="9">
        <v>3</v>
      </c>
      <c r="F24" s="9">
        <v>1</v>
      </c>
      <c r="G24" s="20">
        <v>1</v>
      </c>
      <c r="H24" s="20" t="s">
        <v>21</v>
      </c>
      <c r="I24" s="20"/>
      <c r="J24" s="20"/>
      <c r="K24" s="20">
        <v>2</v>
      </c>
      <c r="L24" s="20" t="s">
        <v>21</v>
      </c>
      <c r="M24" s="9" t="s">
        <v>263</v>
      </c>
      <c r="N24" s="9">
        <f t="shared" si="0"/>
        <v>3</v>
      </c>
      <c r="O24" s="2" t="str">
        <f t="shared" si="1"/>
        <v>Uma vez por semana por um período de 2 semanas</v>
      </c>
    </row>
    <row r="25" spans="1:15" x14ac:dyDescent="0.25">
      <c r="A25" s="2" t="s">
        <v>14</v>
      </c>
      <c r="B25" s="2" t="s">
        <v>50</v>
      </c>
      <c r="C25" s="2" t="s">
        <v>264</v>
      </c>
      <c r="D25" s="9">
        <v>1</v>
      </c>
      <c r="E25" s="9">
        <v>3</v>
      </c>
      <c r="F25" s="9">
        <v>2</v>
      </c>
      <c r="G25" s="20">
        <v>1</v>
      </c>
      <c r="H25" s="20" t="s">
        <v>21</v>
      </c>
      <c r="I25" s="20"/>
      <c r="J25" s="20"/>
      <c r="K25" s="20">
        <v>4</v>
      </c>
      <c r="L25" s="20" t="s">
        <v>21</v>
      </c>
      <c r="M25" s="9" t="s">
        <v>265</v>
      </c>
      <c r="N25" s="9">
        <f t="shared" si="0"/>
        <v>3</v>
      </c>
      <c r="O25" s="2" t="str">
        <f t="shared" si="1"/>
        <v>Uma vez por semana por um período de 4 semanas</v>
      </c>
    </row>
    <row r="26" spans="1:15" x14ac:dyDescent="0.25">
      <c r="A26" s="2" t="s">
        <v>14</v>
      </c>
      <c r="B26" s="2" t="s">
        <v>50</v>
      </c>
      <c r="C26" s="2" t="s">
        <v>266</v>
      </c>
      <c r="D26" s="9">
        <v>1</v>
      </c>
      <c r="E26" s="9">
        <v>3</v>
      </c>
      <c r="F26" s="9">
        <v>3</v>
      </c>
      <c r="G26" s="20">
        <v>1</v>
      </c>
      <c r="H26" s="20" t="s">
        <v>21</v>
      </c>
      <c r="I26" s="20"/>
      <c r="J26" s="20"/>
      <c r="K26" s="20">
        <v>2</v>
      </c>
      <c r="L26" s="20" t="s">
        <v>21</v>
      </c>
      <c r="M26" s="9" t="s">
        <v>267</v>
      </c>
      <c r="N26" s="9">
        <f t="shared" si="0"/>
        <v>3</v>
      </c>
      <c r="O26" s="2" t="str">
        <f t="shared" si="1"/>
        <v>Uma vez por semana por um período de 2 semanas</v>
      </c>
    </row>
    <row r="27" spans="1:15" x14ac:dyDescent="0.25">
      <c r="A27" s="2" t="s">
        <v>14</v>
      </c>
      <c r="B27" s="2" t="s">
        <v>50</v>
      </c>
      <c r="C27" s="2" t="s">
        <v>52</v>
      </c>
      <c r="D27" s="9">
        <v>1</v>
      </c>
      <c r="E27" s="9">
        <v>3</v>
      </c>
      <c r="F27" s="9">
        <v>4</v>
      </c>
      <c r="G27" s="20">
        <v>1</v>
      </c>
      <c r="H27" s="20" t="s">
        <v>21</v>
      </c>
      <c r="I27" s="20"/>
      <c r="J27" s="20"/>
      <c r="K27" s="20">
        <v>4</v>
      </c>
      <c r="L27" s="20" t="s">
        <v>21</v>
      </c>
      <c r="M27" s="9" t="s">
        <v>268</v>
      </c>
      <c r="N27" s="9">
        <f t="shared" si="0"/>
        <v>3</v>
      </c>
      <c r="O27" s="2" t="str">
        <f t="shared" si="1"/>
        <v>Uma vez por semana por um período de 4 semanas</v>
      </c>
    </row>
    <row r="28" spans="1:15" x14ac:dyDescent="0.25">
      <c r="A28" s="2" t="s">
        <v>14</v>
      </c>
      <c r="B28" s="2" t="s">
        <v>50</v>
      </c>
      <c r="C28" s="2" t="s">
        <v>269</v>
      </c>
      <c r="D28" s="9">
        <v>1</v>
      </c>
      <c r="E28" s="9">
        <v>3</v>
      </c>
      <c r="F28" s="9">
        <v>5</v>
      </c>
      <c r="G28" s="20">
        <v>1</v>
      </c>
      <c r="H28" s="20" t="s">
        <v>21</v>
      </c>
      <c r="I28" s="20"/>
      <c r="J28" s="20"/>
      <c r="K28" s="20">
        <v>3</v>
      </c>
      <c r="L28" s="20" t="s">
        <v>21</v>
      </c>
      <c r="M28" s="9" t="s">
        <v>270</v>
      </c>
      <c r="N28" s="9">
        <f t="shared" si="0"/>
        <v>3</v>
      </c>
      <c r="O28" s="2" t="str">
        <f t="shared" si="1"/>
        <v>Uma vez por semana por um período de 3 semanas</v>
      </c>
    </row>
    <row r="29" spans="1:15" x14ac:dyDescent="0.25">
      <c r="A29" s="2" t="s">
        <v>14</v>
      </c>
      <c r="B29" s="2" t="s">
        <v>50</v>
      </c>
      <c r="C29" s="2" t="s">
        <v>271</v>
      </c>
      <c r="D29" s="9">
        <v>1</v>
      </c>
      <c r="E29" s="9">
        <v>3</v>
      </c>
      <c r="F29" s="9">
        <v>6</v>
      </c>
      <c r="G29" s="20">
        <v>1</v>
      </c>
      <c r="H29" s="20" t="s">
        <v>21</v>
      </c>
      <c r="I29" s="20"/>
      <c r="J29" s="20"/>
      <c r="K29" s="20">
        <v>3</v>
      </c>
      <c r="L29" s="20" t="s">
        <v>21</v>
      </c>
      <c r="M29" s="9" t="s">
        <v>272</v>
      </c>
      <c r="N29" s="9">
        <f t="shared" si="0"/>
        <v>3</v>
      </c>
      <c r="O29" s="2" t="str">
        <f t="shared" si="1"/>
        <v>Uma vez por semana por um período de 3 semanas</v>
      </c>
    </row>
    <row r="30" spans="1:15" x14ac:dyDescent="0.25">
      <c r="A30" s="2" t="s">
        <v>14</v>
      </c>
      <c r="B30" s="2" t="s">
        <v>50</v>
      </c>
      <c r="C30" s="2" t="s">
        <v>53</v>
      </c>
      <c r="D30" s="9">
        <v>1</v>
      </c>
      <c r="E30" s="9">
        <v>3</v>
      </c>
      <c r="F30" s="9">
        <v>7</v>
      </c>
      <c r="G30" s="20">
        <v>1</v>
      </c>
      <c r="H30" s="20" t="s">
        <v>21</v>
      </c>
      <c r="I30" s="20"/>
      <c r="J30" s="20"/>
      <c r="K30" s="20">
        <v>1</v>
      </c>
      <c r="L30" s="20" t="s">
        <v>21</v>
      </c>
      <c r="M30" s="9" t="s">
        <v>273</v>
      </c>
      <c r="N30" s="9">
        <f t="shared" si="0"/>
        <v>3</v>
      </c>
      <c r="O30" s="2" t="str">
        <f t="shared" si="1"/>
        <v>Uma vez por semana por um período de 1 semana</v>
      </c>
    </row>
    <row r="31" spans="1:15" x14ac:dyDescent="0.25">
      <c r="A31" s="2" t="s">
        <v>14</v>
      </c>
      <c r="B31" s="2" t="s">
        <v>50</v>
      </c>
      <c r="C31" s="2" t="s">
        <v>274</v>
      </c>
      <c r="D31" s="9">
        <v>1</v>
      </c>
      <c r="E31" s="9">
        <v>3</v>
      </c>
      <c r="F31" s="9">
        <v>8</v>
      </c>
      <c r="G31" s="20">
        <v>1</v>
      </c>
      <c r="H31" s="20" t="s">
        <v>21</v>
      </c>
      <c r="I31" s="20"/>
      <c r="J31" s="20"/>
      <c r="K31" s="20">
        <v>2</v>
      </c>
      <c r="L31" s="20" t="s">
        <v>21</v>
      </c>
      <c r="M31" s="9" t="s">
        <v>275</v>
      </c>
      <c r="N31" s="9">
        <f t="shared" si="0"/>
        <v>3</v>
      </c>
      <c r="O31" s="2" t="str">
        <f t="shared" si="1"/>
        <v>Uma vez por semana por um período de 2 semanas</v>
      </c>
    </row>
    <row r="32" spans="1:15" x14ac:dyDescent="0.25">
      <c r="A32" s="2" t="s">
        <v>14</v>
      </c>
      <c r="B32" s="2" t="s">
        <v>50</v>
      </c>
      <c r="C32" s="2" t="s">
        <v>54</v>
      </c>
      <c r="D32" s="9">
        <v>1</v>
      </c>
      <c r="E32" s="9">
        <v>3</v>
      </c>
      <c r="F32" s="9">
        <v>9</v>
      </c>
      <c r="G32" s="20">
        <v>1</v>
      </c>
      <c r="H32" s="20" t="s">
        <v>21</v>
      </c>
      <c r="I32" s="20"/>
      <c r="J32" s="20"/>
      <c r="K32" s="20">
        <v>4</v>
      </c>
      <c r="L32" s="20" t="s">
        <v>21</v>
      </c>
      <c r="M32" s="9" t="s">
        <v>276</v>
      </c>
      <c r="N32" s="9">
        <f t="shared" si="0"/>
        <v>3</v>
      </c>
      <c r="O32" s="2" t="str">
        <f t="shared" si="1"/>
        <v>Uma vez por semana por um período de 4 semanas</v>
      </c>
    </row>
    <row r="33" spans="1:15" x14ac:dyDescent="0.25">
      <c r="A33" s="2" t="s">
        <v>14</v>
      </c>
      <c r="B33" s="2" t="s">
        <v>50</v>
      </c>
      <c r="C33" s="2" t="s">
        <v>277</v>
      </c>
      <c r="D33" s="9">
        <v>1</v>
      </c>
      <c r="E33" s="9">
        <v>3</v>
      </c>
      <c r="F33" s="9">
        <v>10</v>
      </c>
      <c r="G33" s="20">
        <v>1</v>
      </c>
      <c r="H33" s="20" t="s">
        <v>21</v>
      </c>
      <c r="I33" s="20"/>
      <c r="J33" s="20"/>
      <c r="K33" s="20">
        <v>4</v>
      </c>
      <c r="L33" s="20" t="s">
        <v>21</v>
      </c>
      <c r="M33" s="9" t="s">
        <v>278</v>
      </c>
      <c r="N33" s="9">
        <f t="shared" si="0"/>
        <v>3</v>
      </c>
      <c r="O33" s="2" t="str">
        <f t="shared" si="1"/>
        <v>Uma vez por semana por um período de 4 semanas</v>
      </c>
    </row>
    <row r="34" spans="1:15" x14ac:dyDescent="0.25">
      <c r="A34" s="2" t="s">
        <v>14</v>
      </c>
      <c r="B34" s="2" t="s">
        <v>50</v>
      </c>
      <c r="C34" s="2" t="s">
        <v>279</v>
      </c>
      <c r="D34" s="9">
        <v>1</v>
      </c>
      <c r="E34" s="9">
        <v>3</v>
      </c>
      <c r="F34" s="9">
        <v>11</v>
      </c>
      <c r="G34" s="20">
        <v>3</v>
      </c>
      <c r="H34" s="20" t="s">
        <v>21</v>
      </c>
      <c r="I34" s="20"/>
      <c r="J34" s="20"/>
      <c r="K34" s="20">
        <v>3</v>
      </c>
      <c r="L34" s="20" t="s">
        <v>21</v>
      </c>
      <c r="M34" s="9" t="s">
        <v>280</v>
      </c>
      <c r="N34" s="9">
        <f t="shared" si="0"/>
        <v>3</v>
      </c>
      <c r="O34" s="2" t="str">
        <f t="shared" si="1"/>
        <v>3 vezes por semana por um período de 3 semanas</v>
      </c>
    </row>
    <row r="35" spans="1:15" x14ac:dyDescent="0.25">
      <c r="A35" s="2" t="s">
        <v>14</v>
      </c>
      <c r="B35" s="2" t="s">
        <v>50</v>
      </c>
      <c r="C35" s="2" t="s">
        <v>55</v>
      </c>
      <c r="D35" s="9">
        <v>1</v>
      </c>
      <c r="E35" s="9">
        <v>3</v>
      </c>
      <c r="F35" s="9">
        <v>12</v>
      </c>
      <c r="G35" s="20">
        <v>1</v>
      </c>
      <c r="H35" s="20" t="s">
        <v>21</v>
      </c>
      <c r="I35" s="20"/>
      <c r="J35" s="20"/>
      <c r="K35" s="20">
        <v>2</v>
      </c>
      <c r="L35" s="20" t="s">
        <v>21</v>
      </c>
      <c r="M35" s="9" t="s">
        <v>281</v>
      </c>
      <c r="N35" s="9">
        <f t="shared" si="0"/>
        <v>3</v>
      </c>
      <c r="O35" s="2" t="str">
        <f t="shared" si="1"/>
        <v>Uma vez por semana por um período de 2 semanas</v>
      </c>
    </row>
    <row r="36" spans="1:15" x14ac:dyDescent="0.25">
      <c r="A36" s="2" t="s">
        <v>14</v>
      </c>
      <c r="B36" s="2" t="s">
        <v>50</v>
      </c>
      <c r="C36" s="2" t="s">
        <v>282</v>
      </c>
      <c r="D36" s="9">
        <v>1</v>
      </c>
      <c r="E36" s="9">
        <v>3</v>
      </c>
      <c r="F36" s="9">
        <v>13</v>
      </c>
      <c r="G36" s="20">
        <v>1</v>
      </c>
      <c r="H36" s="20" t="s">
        <v>21</v>
      </c>
      <c r="I36" s="20"/>
      <c r="J36" s="20"/>
      <c r="K36" s="20">
        <v>3</v>
      </c>
      <c r="L36" s="20" t="s">
        <v>21</v>
      </c>
      <c r="M36" s="9" t="s">
        <v>283</v>
      </c>
      <c r="N36" s="9">
        <f t="shared" si="0"/>
        <v>3</v>
      </c>
      <c r="O36" s="2" t="str">
        <f t="shared" si="1"/>
        <v>Uma vez por semana por um período de 3 semanas</v>
      </c>
    </row>
    <row r="37" spans="1:15" x14ac:dyDescent="0.25">
      <c r="A37" s="2" t="s">
        <v>14</v>
      </c>
      <c r="B37" s="2" t="s">
        <v>50</v>
      </c>
      <c r="C37" s="2" t="s">
        <v>284</v>
      </c>
      <c r="D37" s="9">
        <v>1</v>
      </c>
      <c r="E37" s="9">
        <v>3</v>
      </c>
      <c r="F37" s="9">
        <v>14</v>
      </c>
      <c r="G37" s="20">
        <v>1</v>
      </c>
      <c r="H37" s="20" t="s">
        <v>21</v>
      </c>
      <c r="I37" s="20"/>
      <c r="J37" s="20"/>
      <c r="K37" s="20">
        <v>1</v>
      </c>
      <c r="L37" s="20" t="s">
        <v>21</v>
      </c>
      <c r="M37" s="9" t="s">
        <v>285</v>
      </c>
      <c r="N37" s="9">
        <f t="shared" si="0"/>
        <v>3</v>
      </c>
      <c r="O37" s="2" t="str">
        <f t="shared" si="1"/>
        <v>Uma vez por semana por um período de 1 semana</v>
      </c>
    </row>
    <row r="38" spans="1:15" x14ac:dyDescent="0.25">
      <c r="A38" s="2" t="s">
        <v>14</v>
      </c>
      <c r="B38" s="2" t="s">
        <v>50</v>
      </c>
      <c r="C38" s="2" t="s">
        <v>56</v>
      </c>
      <c r="D38" s="9">
        <v>1</v>
      </c>
      <c r="E38" s="9">
        <v>3</v>
      </c>
      <c r="F38" s="9">
        <v>15</v>
      </c>
      <c r="G38" s="20">
        <v>1</v>
      </c>
      <c r="H38" s="20" t="s">
        <v>21</v>
      </c>
      <c r="I38" s="20"/>
      <c r="J38" s="20"/>
      <c r="K38" s="20">
        <v>4</v>
      </c>
      <c r="L38" s="20" t="s">
        <v>21</v>
      </c>
      <c r="M38" s="9" t="s">
        <v>286</v>
      </c>
      <c r="N38" s="9">
        <f t="shared" si="0"/>
        <v>3</v>
      </c>
      <c r="O38" s="2" t="str">
        <f t="shared" si="1"/>
        <v>Uma vez por semana por um período de 4 semanas</v>
      </c>
    </row>
    <row r="40" spans="1:15" x14ac:dyDescent="0.25">
      <c r="A40" s="4"/>
      <c r="B40" s="4"/>
    </row>
  </sheetData>
  <dataValidations disablePrompts="1" count="1">
    <dataValidation type="whole" operator="greaterThanOrEqual" allowBlank="1" showInputMessage="1" showErrorMessage="1" errorTitle="Número inválido" error="Informe um número inteiro maior ou igual a 0" sqref="G2:G1037 K2:K1037 I2:I1037" xr:uid="{00000000-0002-0000-0200-000003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Unidade inválida" error="Use apenas: d (dia) ou s (semana)" xr:uid="{00000000-0002-0000-0200-000000000000}">
          <x14:formula1>
            <xm:f>_DV!$A$1:$A$2</xm:f>
          </x14:formula1>
          <xm:sqref>H2:H1037 L2:L1037 J2:J1037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8"/>
  <sheetViews>
    <sheetView workbookViewId="0">
      <pane ySplit="1" topLeftCell="A22" activePane="bottomLeft" state="frozen"/>
      <selection pane="bottomLeft" activeCell="M42" sqref="M42"/>
    </sheetView>
  </sheetViews>
  <sheetFormatPr defaultRowHeight="15" x14ac:dyDescent="0.25"/>
  <cols>
    <col min="3" max="3" width="63" bestFit="1" customWidth="1"/>
    <col min="4" max="12" width="7" style="10" customWidth="1"/>
    <col min="13" max="13" width="13.140625" style="10" customWidth="1"/>
    <col min="14" max="14" width="7" style="10" customWidth="1"/>
    <col min="15" max="15" width="63.85546875" style="10" bestFit="1" customWidth="1"/>
    <col min="16" max="17" width="7" style="10" customWidth="1"/>
  </cols>
  <sheetData>
    <row r="1" spans="1:17" ht="109.5" x14ac:dyDescent="0.25">
      <c r="A1" s="11" t="s">
        <v>22</v>
      </c>
      <c r="B1" s="11" t="s">
        <v>301</v>
      </c>
      <c r="C1" s="11" t="s">
        <v>23</v>
      </c>
      <c r="D1" s="11" t="s">
        <v>24</v>
      </c>
      <c r="E1" s="11" t="s">
        <v>302</v>
      </c>
      <c r="F1" s="11" t="s">
        <v>25</v>
      </c>
      <c r="G1" s="11" t="s">
        <v>26</v>
      </c>
      <c r="H1" s="11" t="s">
        <v>27</v>
      </c>
      <c r="I1" s="11" t="s">
        <v>305</v>
      </c>
      <c r="J1" s="11" t="s">
        <v>306</v>
      </c>
      <c r="K1" s="11" t="s">
        <v>28</v>
      </c>
      <c r="L1" s="11" t="s">
        <v>29</v>
      </c>
      <c r="M1" s="11" t="s">
        <v>30</v>
      </c>
      <c r="N1" s="11" t="s">
        <v>31</v>
      </c>
      <c r="O1" s="13" t="s">
        <v>307</v>
      </c>
      <c r="P1" s="21"/>
      <c r="Q1" s="11"/>
    </row>
    <row r="2" spans="1:17" x14ac:dyDescent="0.25">
      <c r="A2" s="2" t="s">
        <v>15</v>
      </c>
      <c r="B2" s="2" t="s">
        <v>32</v>
      </c>
      <c r="C2" s="2" t="s">
        <v>57</v>
      </c>
      <c r="D2" s="9">
        <v>3</v>
      </c>
      <c r="E2" s="9">
        <v>1</v>
      </c>
      <c r="F2" s="9">
        <v>1</v>
      </c>
      <c r="G2" s="9">
        <v>1</v>
      </c>
      <c r="H2" s="9" t="s">
        <v>20</v>
      </c>
      <c r="I2" s="9"/>
      <c r="J2" s="9"/>
      <c r="K2" s="9">
        <v>1</v>
      </c>
      <c r="L2" s="9" t="s">
        <v>21</v>
      </c>
      <c r="M2" s="9" t="str">
        <f>LEFT(A2,2)&amp;LEFT(B2,1)&amp;TEXT(F2,"000")&amp;"-"&amp;(G2)&amp;H2&amp;(K2)&amp;L2</f>
        <v>EsB001-1d1s</v>
      </c>
      <c r="N2" s="9">
        <v>1</v>
      </c>
      <c r="O2" s="2" t="str">
        <f>IF(
  AND(G2="",H2="",I2="",J2="",K2="",L2=""),
  "Fique atento para a primeira oportunidade que surgir",
  IF(AND(G2=0,LOWER(H2)="d",K2=0,LOWER(L2)="d"),
     "Fique atento para a primeira oportunidade que surgir",
     IF(AND(G2=1,LOWER(H2)="d",K2=1,LOWER(L2)="d"),
        "Pelo menos uma vez",
        IF(G2=0,"O dia inteiro",IF(G2=1,"Uma vez",TEXT(G2,"0")&amp;" vezes")&amp;" por "&amp;IF(LOWER(H2)="d","dia","semana"))
        &amp;IF(AND(ISNUMBER(I2),I2&gt;0),", a cada "&amp;TEXT(I2,"0")&amp;" "&amp;IF(I2=1,IF(LOWER(J2)="d","dia","semana"),IF(LOWER(J2)="d","dias","semanas"))&amp;",","")
        &amp;" por um período de "&amp;TEXT(K2,"0")&amp;" "&amp;IF(K2=1,IF(LOWER(L2)="d","dia","semana"),IF(LOWER(L2)="d","dias","semanas"))
     )
  )
)</f>
        <v>Uma vez por dia por um período de 1 semana</v>
      </c>
    </row>
    <row r="3" spans="1:17" x14ac:dyDescent="0.25">
      <c r="A3" s="2" t="s">
        <v>15</v>
      </c>
      <c r="B3" s="2" t="s">
        <v>32</v>
      </c>
      <c r="C3" s="2" t="s">
        <v>58</v>
      </c>
      <c r="D3" s="9">
        <v>3</v>
      </c>
      <c r="E3" s="9">
        <v>1</v>
      </c>
      <c r="F3" s="9">
        <v>2</v>
      </c>
      <c r="G3" s="9">
        <v>1</v>
      </c>
      <c r="H3" s="9" t="s">
        <v>20</v>
      </c>
      <c r="I3" s="9"/>
      <c r="J3" s="9"/>
      <c r="K3" s="9">
        <v>1</v>
      </c>
      <c r="L3" s="9" t="s">
        <v>21</v>
      </c>
      <c r="M3" s="9" t="str">
        <f t="shared" ref="M3:M38" si="0">LEFT(A3,2)&amp;LEFT(B3,1)&amp;TEXT(F3,"000")&amp;"-"&amp;(G3)&amp;H3&amp;(K3)&amp;L3</f>
        <v>EsB002-1d1s</v>
      </c>
      <c r="N3" s="9">
        <v>1</v>
      </c>
      <c r="O3" s="2" t="str">
        <f t="shared" ref="O3:O38" si="1">IF(
  AND(G3="",H3="",I3="",J3="",K3="",L3=""),
  "Fique atento para a primeira oportunidade que surgir",
  IF(AND(G3=0,LOWER(H3)="d",K3=0,LOWER(L3)="d"),
     "Fique atento para a primeira oportunidade que surgir",
     IF(AND(G3=1,LOWER(H3)="d",K3=1,LOWER(L3)="d"),
        "Pelo menos uma vez",
        IF(G3=0,"O dia inteiro",IF(G3=1,"Uma vez",TEXT(G3,"0")&amp;" vezes")&amp;" por "&amp;IF(LOWER(H3)="d","dia","semana"))
        &amp;IF(AND(ISNUMBER(I3),I3&gt;0),", a cada "&amp;TEXT(I3,"0")&amp;" "&amp;IF(I3=1,IF(LOWER(J3)="d","dia","semana"),IF(LOWER(J3)="d","dias","semanas"))&amp;",","")
        &amp;" por um período de "&amp;TEXT(K3,"0")&amp;" "&amp;IF(K3=1,IF(LOWER(L3)="d","dia","semana"),IF(LOWER(L3)="d","dias","semanas"))
     )
  )
)</f>
        <v>Uma vez por dia por um período de 1 semana</v>
      </c>
    </row>
    <row r="4" spans="1:17" x14ac:dyDescent="0.25">
      <c r="A4" s="2" t="s">
        <v>15</v>
      </c>
      <c r="B4" s="2" t="s">
        <v>32</v>
      </c>
      <c r="C4" s="2" t="s">
        <v>59</v>
      </c>
      <c r="D4" s="9">
        <v>3</v>
      </c>
      <c r="E4" s="9">
        <v>1</v>
      </c>
      <c r="F4" s="9">
        <v>3</v>
      </c>
      <c r="G4" s="9">
        <v>1</v>
      </c>
      <c r="H4" s="9" t="s">
        <v>20</v>
      </c>
      <c r="I4" s="9"/>
      <c r="J4" s="9"/>
      <c r="K4" s="9">
        <v>7</v>
      </c>
      <c r="L4" s="9" t="s">
        <v>21</v>
      </c>
      <c r="M4" s="9" t="str">
        <f t="shared" si="0"/>
        <v>EsB003-1d7s</v>
      </c>
      <c r="N4" s="9">
        <v>1</v>
      </c>
      <c r="O4" s="2" t="str">
        <f t="shared" si="1"/>
        <v>Uma vez por dia por um período de 7 semanas</v>
      </c>
    </row>
    <row r="5" spans="1:17" x14ac:dyDescent="0.25">
      <c r="A5" s="2" t="s">
        <v>15</v>
      </c>
      <c r="B5" s="2" t="s">
        <v>32</v>
      </c>
      <c r="C5" s="2" t="s">
        <v>60</v>
      </c>
      <c r="D5" s="9">
        <v>3</v>
      </c>
      <c r="E5" s="9">
        <v>1</v>
      </c>
      <c r="F5" s="9">
        <v>4</v>
      </c>
      <c r="G5" s="9">
        <v>1</v>
      </c>
      <c r="H5" s="9" t="s">
        <v>21</v>
      </c>
      <c r="I5" s="9"/>
      <c r="J5" s="9"/>
      <c r="K5" s="9">
        <v>2</v>
      </c>
      <c r="L5" s="9" t="s">
        <v>21</v>
      </c>
      <c r="M5" s="9" t="str">
        <f t="shared" si="0"/>
        <v>EsB004-1s2s</v>
      </c>
      <c r="N5" s="9">
        <v>1</v>
      </c>
      <c r="O5" s="2" t="str">
        <f t="shared" si="1"/>
        <v>Uma vez por semana por um período de 2 semanas</v>
      </c>
    </row>
    <row r="6" spans="1:17" x14ac:dyDescent="0.25">
      <c r="A6" s="2" t="s">
        <v>15</v>
      </c>
      <c r="B6" s="2" t="s">
        <v>32</v>
      </c>
      <c r="C6" s="2" t="s">
        <v>61</v>
      </c>
      <c r="D6" s="9">
        <v>3</v>
      </c>
      <c r="E6" s="9">
        <v>1</v>
      </c>
      <c r="F6" s="9">
        <v>5</v>
      </c>
      <c r="G6" s="9">
        <v>1</v>
      </c>
      <c r="H6" s="9" t="s">
        <v>20</v>
      </c>
      <c r="I6" s="9"/>
      <c r="J6" s="9"/>
      <c r="K6" s="9">
        <v>10</v>
      </c>
      <c r="L6" s="9" t="s">
        <v>20</v>
      </c>
      <c r="M6" s="9" t="str">
        <f t="shared" si="0"/>
        <v>EsB005-1d10d</v>
      </c>
      <c r="N6" s="9">
        <v>1</v>
      </c>
      <c r="O6" s="2" t="str">
        <f t="shared" si="1"/>
        <v>Uma vez por dia por um período de 10 dias</v>
      </c>
    </row>
    <row r="7" spans="1:17" x14ac:dyDescent="0.25">
      <c r="A7" s="2" t="s">
        <v>15</v>
      </c>
      <c r="B7" s="2" t="s">
        <v>32</v>
      </c>
      <c r="C7" s="2" t="s">
        <v>62</v>
      </c>
      <c r="D7" s="9">
        <v>3</v>
      </c>
      <c r="E7" s="9">
        <v>1</v>
      </c>
      <c r="F7" s="9">
        <v>6</v>
      </c>
      <c r="G7" s="9">
        <v>1</v>
      </c>
      <c r="H7" s="9" t="s">
        <v>20</v>
      </c>
      <c r="I7" s="9"/>
      <c r="J7" s="9"/>
      <c r="K7" s="9">
        <v>2</v>
      </c>
      <c r="L7" s="9" t="s">
        <v>21</v>
      </c>
      <c r="M7" s="9" t="str">
        <f t="shared" si="0"/>
        <v>EsB006-1d2s</v>
      </c>
      <c r="N7" s="9">
        <v>1</v>
      </c>
      <c r="O7" s="2" t="str">
        <f t="shared" si="1"/>
        <v>Uma vez por dia por um período de 2 semanas</v>
      </c>
    </row>
    <row r="8" spans="1:17" x14ac:dyDescent="0.25">
      <c r="A8" s="2" t="s">
        <v>15</v>
      </c>
      <c r="B8" s="2" t="s">
        <v>32</v>
      </c>
      <c r="C8" s="2" t="s">
        <v>63</v>
      </c>
      <c r="D8" s="9">
        <v>3</v>
      </c>
      <c r="E8" s="9">
        <v>1</v>
      </c>
      <c r="F8" s="9">
        <v>7</v>
      </c>
      <c r="G8" s="9">
        <v>1</v>
      </c>
      <c r="H8" s="9" t="s">
        <v>20</v>
      </c>
      <c r="I8" s="9">
        <v>2</v>
      </c>
      <c r="J8" s="9" t="s">
        <v>20</v>
      </c>
      <c r="K8" s="9">
        <v>2</v>
      </c>
      <c r="L8" s="9" t="s">
        <v>21</v>
      </c>
      <c r="M8" s="9" t="str">
        <f t="shared" si="0"/>
        <v>EsB007-1d2s</v>
      </c>
      <c r="N8" s="9">
        <v>1</v>
      </c>
      <c r="O8" s="2" t="str">
        <f t="shared" si="1"/>
        <v>Uma vez por dia, a cada 2 dias, por um período de 2 semanas</v>
      </c>
    </row>
    <row r="9" spans="1:17" x14ac:dyDescent="0.25">
      <c r="A9" s="2" t="s">
        <v>15</v>
      </c>
      <c r="B9" s="2" t="s">
        <v>32</v>
      </c>
      <c r="C9" s="2" t="s">
        <v>64</v>
      </c>
      <c r="D9" s="9">
        <v>3</v>
      </c>
      <c r="E9" s="9">
        <v>1</v>
      </c>
      <c r="F9" s="9">
        <v>8</v>
      </c>
      <c r="G9" s="9">
        <v>2</v>
      </c>
      <c r="H9" s="9" t="s">
        <v>20</v>
      </c>
      <c r="I9" s="9"/>
      <c r="J9" s="9"/>
      <c r="K9" s="9">
        <v>1</v>
      </c>
      <c r="L9" s="9" t="s">
        <v>21</v>
      </c>
      <c r="M9" s="9" t="str">
        <f t="shared" si="0"/>
        <v>EsB008-2d1s</v>
      </c>
      <c r="N9" s="9">
        <v>1</v>
      </c>
      <c r="O9" s="2" t="str">
        <f t="shared" si="1"/>
        <v>2 vezes por dia por um período de 1 semana</v>
      </c>
    </row>
    <row r="10" spans="1:17" x14ac:dyDescent="0.25">
      <c r="A10" s="2" t="s">
        <v>15</v>
      </c>
      <c r="B10" s="2" t="s">
        <v>32</v>
      </c>
      <c r="C10" s="2" t="s">
        <v>65</v>
      </c>
      <c r="D10" s="9">
        <v>3</v>
      </c>
      <c r="E10" s="9">
        <v>1</v>
      </c>
      <c r="F10" s="9">
        <v>9</v>
      </c>
      <c r="G10" s="9">
        <v>1</v>
      </c>
      <c r="H10" s="9" t="s">
        <v>20</v>
      </c>
      <c r="I10" s="9">
        <v>3</v>
      </c>
      <c r="J10" s="9" t="s">
        <v>20</v>
      </c>
      <c r="K10" s="9">
        <v>1</v>
      </c>
      <c r="L10" s="9" t="s">
        <v>21</v>
      </c>
      <c r="M10" s="9" t="str">
        <f t="shared" si="0"/>
        <v>EsB009-1d1s</v>
      </c>
      <c r="N10" s="9">
        <v>1</v>
      </c>
      <c r="O10" s="2" t="str">
        <f t="shared" si="1"/>
        <v>Uma vez por dia, a cada 3 dias, por um período de 1 semana</v>
      </c>
    </row>
    <row r="11" spans="1:17" x14ac:dyDescent="0.25">
      <c r="A11" s="2" t="s">
        <v>15</v>
      </c>
      <c r="B11" s="2" t="s">
        <v>32</v>
      </c>
      <c r="C11" s="2" t="s">
        <v>66</v>
      </c>
      <c r="D11" s="9">
        <v>3</v>
      </c>
      <c r="E11" s="9">
        <v>1</v>
      </c>
      <c r="F11" s="9">
        <v>10</v>
      </c>
      <c r="G11" s="9">
        <v>1</v>
      </c>
      <c r="H11" s="9" t="s">
        <v>21</v>
      </c>
      <c r="I11" s="9"/>
      <c r="J11" s="9"/>
      <c r="K11" s="9">
        <v>1</v>
      </c>
      <c r="L11" s="9" t="s">
        <v>21</v>
      </c>
      <c r="M11" s="9" t="str">
        <f t="shared" si="0"/>
        <v>EsB010-1s1s</v>
      </c>
      <c r="N11" s="9">
        <v>1</v>
      </c>
      <c r="O11" s="2" t="str">
        <f t="shared" si="1"/>
        <v>Uma vez por semana por um período de 1 semana</v>
      </c>
    </row>
    <row r="12" spans="1:17" x14ac:dyDescent="0.25">
      <c r="A12" s="2" t="s">
        <v>15</v>
      </c>
      <c r="B12" s="2" t="s">
        <v>41</v>
      </c>
      <c r="C12" s="2" t="s">
        <v>67</v>
      </c>
      <c r="D12" s="9">
        <v>3</v>
      </c>
      <c r="E12" s="9">
        <v>2</v>
      </c>
      <c r="F12" s="9">
        <v>1</v>
      </c>
      <c r="G12" s="9">
        <v>1</v>
      </c>
      <c r="H12" s="9" t="s">
        <v>20</v>
      </c>
      <c r="I12" s="9">
        <v>7</v>
      </c>
      <c r="J12" s="9" t="s">
        <v>20</v>
      </c>
      <c r="K12" s="9">
        <v>4</v>
      </c>
      <c r="L12" s="9" t="s">
        <v>21</v>
      </c>
      <c r="M12" s="9" t="str">
        <f t="shared" si="0"/>
        <v>EsD001-1d4s</v>
      </c>
      <c r="N12" s="9">
        <v>2</v>
      </c>
      <c r="O12" s="2" t="str">
        <f t="shared" si="1"/>
        <v>Uma vez por dia, a cada 7 dias, por um período de 4 semanas</v>
      </c>
    </row>
    <row r="13" spans="1:17" x14ac:dyDescent="0.25">
      <c r="A13" s="2" t="s">
        <v>15</v>
      </c>
      <c r="B13" s="2" t="s">
        <v>41</v>
      </c>
      <c r="C13" s="2" t="s">
        <v>68</v>
      </c>
      <c r="D13" s="9">
        <v>3</v>
      </c>
      <c r="E13" s="9">
        <v>2</v>
      </c>
      <c r="F13" s="9">
        <v>2</v>
      </c>
      <c r="G13" s="9">
        <v>1</v>
      </c>
      <c r="H13" s="9" t="s">
        <v>20</v>
      </c>
      <c r="I13" s="9">
        <v>7</v>
      </c>
      <c r="J13" s="9" t="s">
        <v>20</v>
      </c>
      <c r="K13" s="9">
        <v>3</v>
      </c>
      <c r="L13" s="9" t="s">
        <v>21</v>
      </c>
      <c r="M13" s="9" t="str">
        <f t="shared" si="0"/>
        <v>EsD002-1d3s</v>
      </c>
      <c r="N13" s="9">
        <v>2</v>
      </c>
      <c r="O13" s="2" t="str">
        <f t="shared" si="1"/>
        <v>Uma vez por dia, a cada 7 dias, por um período de 3 semanas</v>
      </c>
    </row>
    <row r="14" spans="1:17" x14ac:dyDescent="0.25">
      <c r="A14" s="2" t="s">
        <v>15</v>
      </c>
      <c r="B14" s="2" t="s">
        <v>41</v>
      </c>
      <c r="C14" s="2" t="s">
        <v>69</v>
      </c>
      <c r="D14" s="9">
        <v>3</v>
      </c>
      <c r="E14" s="9">
        <v>2</v>
      </c>
      <c r="F14" s="9">
        <v>3</v>
      </c>
      <c r="G14" s="9">
        <v>1</v>
      </c>
      <c r="H14" s="9" t="s">
        <v>20</v>
      </c>
      <c r="I14" s="9">
        <v>2</v>
      </c>
      <c r="J14" s="9" t="s">
        <v>20</v>
      </c>
      <c r="K14" s="9">
        <v>2</v>
      </c>
      <c r="L14" s="9" t="s">
        <v>21</v>
      </c>
      <c r="M14" s="9" t="str">
        <f t="shared" si="0"/>
        <v>EsD003-1d2s</v>
      </c>
      <c r="N14" s="9">
        <v>2</v>
      </c>
      <c r="O14" s="2" t="str">
        <f t="shared" si="1"/>
        <v>Uma vez por dia, a cada 2 dias, por um período de 2 semanas</v>
      </c>
    </row>
    <row r="15" spans="1:17" x14ac:dyDescent="0.25">
      <c r="A15" s="2" t="s">
        <v>15</v>
      </c>
      <c r="B15" s="2" t="s">
        <v>41</v>
      </c>
      <c r="C15" s="2" t="s">
        <v>70</v>
      </c>
      <c r="D15" s="9">
        <v>3</v>
      </c>
      <c r="E15" s="9">
        <v>2</v>
      </c>
      <c r="F15" s="9">
        <v>4</v>
      </c>
      <c r="G15" s="9">
        <v>1</v>
      </c>
      <c r="H15" s="9" t="s">
        <v>21</v>
      </c>
      <c r="I15" s="9"/>
      <c r="J15" s="9"/>
      <c r="K15" s="9">
        <v>3</v>
      </c>
      <c r="L15" s="9" t="s">
        <v>21</v>
      </c>
      <c r="M15" s="9" t="str">
        <f t="shared" si="0"/>
        <v>EsD004-1s3s</v>
      </c>
      <c r="N15" s="9">
        <v>2</v>
      </c>
      <c r="O15" s="2" t="str">
        <f t="shared" si="1"/>
        <v>Uma vez por semana por um período de 3 semanas</v>
      </c>
    </row>
    <row r="16" spans="1:17" x14ac:dyDescent="0.25">
      <c r="A16" s="2" t="s">
        <v>15</v>
      </c>
      <c r="B16" s="2" t="s">
        <v>41</v>
      </c>
      <c r="C16" s="2" t="s">
        <v>71</v>
      </c>
      <c r="D16" s="9">
        <v>3</v>
      </c>
      <c r="E16" s="9">
        <v>2</v>
      </c>
      <c r="F16" s="9">
        <v>5</v>
      </c>
      <c r="G16" s="9">
        <v>1</v>
      </c>
      <c r="H16" s="9" t="s">
        <v>21</v>
      </c>
      <c r="I16" s="9"/>
      <c r="J16" s="9"/>
      <c r="K16" s="9">
        <v>2</v>
      </c>
      <c r="L16" s="9" t="s">
        <v>21</v>
      </c>
      <c r="M16" s="9" t="str">
        <f t="shared" si="0"/>
        <v>EsD005-1s2s</v>
      </c>
      <c r="N16" s="9">
        <v>2</v>
      </c>
      <c r="O16" s="2" t="str">
        <f t="shared" si="1"/>
        <v>Uma vez por semana por um período de 2 semanas</v>
      </c>
    </row>
    <row r="17" spans="1:15" x14ac:dyDescent="0.25">
      <c r="A17" s="2" t="s">
        <v>15</v>
      </c>
      <c r="B17" s="2" t="s">
        <v>41</v>
      </c>
      <c r="C17" s="2" t="s">
        <v>72</v>
      </c>
      <c r="D17" s="9">
        <v>3</v>
      </c>
      <c r="E17" s="9">
        <v>2</v>
      </c>
      <c r="F17" s="9">
        <v>6</v>
      </c>
      <c r="G17" s="9">
        <v>1</v>
      </c>
      <c r="H17" s="9" t="s">
        <v>21</v>
      </c>
      <c r="I17" s="9"/>
      <c r="J17" s="9"/>
      <c r="K17" s="9">
        <v>3</v>
      </c>
      <c r="L17" s="9" t="s">
        <v>21</v>
      </c>
      <c r="M17" s="9" t="str">
        <f t="shared" si="0"/>
        <v>EsD006-1s3s</v>
      </c>
      <c r="N17" s="9">
        <v>2</v>
      </c>
      <c r="O17" s="2" t="str">
        <f t="shared" si="1"/>
        <v>Uma vez por semana por um período de 3 semanas</v>
      </c>
    </row>
    <row r="18" spans="1:15" x14ac:dyDescent="0.25">
      <c r="A18" s="2" t="s">
        <v>15</v>
      </c>
      <c r="B18" s="2" t="s">
        <v>41</v>
      </c>
      <c r="C18" s="2" t="s">
        <v>73</v>
      </c>
      <c r="D18" s="9">
        <v>3</v>
      </c>
      <c r="E18" s="9">
        <v>2</v>
      </c>
      <c r="F18" s="9">
        <v>7</v>
      </c>
      <c r="G18" s="9">
        <v>1</v>
      </c>
      <c r="H18" s="9" t="s">
        <v>21</v>
      </c>
      <c r="I18" s="9"/>
      <c r="J18" s="9"/>
      <c r="K18" s="9">
        <v>3</v>
      </c>
      <c r="L18" s="9" t="s">
        <v>21</v>
      </c>
      <c r="M18" s="9" t="str">
        <f t="shared" si="0"/>
        <v>EsD007-1s3s</v>
      </c>
      <c r="N18" s="9">
        <v>2</v>
      </c>
      <c r="O18" s="2" t="str">
        <f t="shared" si="1"/>
        <v>Uma vez por semana por um período de 3 semanas</v>
      </c>
    </row>
    <row r="19" spans="1:15" x14ac:dyDescent="0.25">
      <c r="A19" s="2" t="s">
        <v>15</v>
      </c>
      <c r="B19" s="2" t="s">
        <v>41</v>
      </c>
      <c r="C19" s="2" t="s">
        <v>74</v>
      </c>
      <c r="D19" s="9">
        <v>3</v>
      </c>
      <c r="E19" s="9">
        <v>2</v>
      </c>
      <c r="F19" s="9">
        <v>8</v>
      </c>
      <c r="G19" s="9">
        <v>1</v>
      </c>
      <c r="H19" s="9" t="s">
        <v>21</v>
      </c>
      <c r="I19" s="9"/>
      <c r="J19" s="9"/>
      <c r="K19" s="9">
        <v>3</v>
      </c>
      <c r="L19" s="9" t="s">
        <v>21</v>
      </c>
      <c r="M19" s="9" t="str">
        <f t="shared" si="0"/>
        <v>EsD008-1s3s</v>
      </c>
      <c r="N19" s="9">
        <v>2</v>
      </c>
      <c r="O19" s="2" t="str">
        <f t="shared" si="1"/>
        <v>Uma vez por semana por um período de 3 semanas</v>
      </c>
    </row>
    <row r="20" spans="1:15" x14ac:dyDescent="0.25">
      <c r="A20" s="2" t="s">
        <v>15</v>
      </c>
      <c r="B20" s="2" t="s">
        <v>41</v>
      </c>
      <c r="C20" s="2" t="s">
        <v>75</v>
      </c>
      <c r="D20" s="9">
        <v>3</v>
      </c>
      <c r="E20" s="9">
        <v>2</v>
      </c>
      <c r="F20" s="9">
        <v>9</v>
      </c>
      <c r="G20" s="9">
        <v>1</v>
      </c>
      <c r="H20" s="9" t="s">
        <v>21</v>
      </c>
      <c r="I20" s="9"/>
      <c r="J20" s="9"/>
      <c r="K20" s="9">
        <v>4</v>
      </c>
      <c r="L20" s="9" t="s">
        <v>21</v>
      </c>
      <c r="M20" s="9" t="str">
        <f t="shared" si="0"/>
        <v>EsD009-1s4s</v>
      </c>
      <c r="N20" s="9">
        <v>2</v>
      </c>
      <c r="O20" s="2" t="str">
        <f t="shared" si="1"/>
        <v>Uma vez por semana por um período de 4 semanas</v>
      </c>
    </row>
    <row r="21" spans="1:15" x14ac:dyDescent="0.25">
      <c r="A21" s="2" t="s">
        <v>15</v>
      </c>
      <c r="B21" s="2" t="s">
        <v>41</v>
      </c>
      <c r="C21" s="2" t="s">
        <v>76</v>
      </c>
      <c r="D21" s="9">
        <v>3</v>
      </c>
      <c r="E21" s="9">
        <v>2</v>
      </c>
      <c r="F21" s="9">
        <v>10</v>
      </c>
      <c r="G21" s="9">
        <v>3</v>
      </c>
      <c r="H21" s="9" t="s">
        <v>21</v>
      </c>
      <c r="I21" s="9"/>
      <c r="J21" s="9"/>
      <c r="K21" s="9">
        <v>1</v>
      </c>
      <c r="L21" s="9" t="s">
        <v>21</v>
      </c>
      <c r="M21" s="9" t="str">
        <f t="shared" si="0"/>
        <v>EsD010-3s1s</v>
      </c>
      <c r="N21" s="9">
        <v>2</v>
      </c>
      <c r="O21" s="2" t="str">
        <f t="shared" si="1"/>
        <v>3 vezes por semana por um período de 1 semana</v>
      </c>
    </row>
    <row r="22" spans="1:15" x14ac:dyDescent="0.25">
      <c r="A22" s="2" t="s">
        <v>15</v>
      </c>
      <c r="B22" s="2" t="s">
        <v>41</v>
      </c>
      <c r="C22" s="2" t="s">
        <v>77</v>
      </c>
      <c r="D22" s="9">
        <v>3</v>
      </c>
      <c r="E22" s="9">
        <v>2</v>
      </c>
      <c r="F22" s="9">
        <v>11</v>
      </c>
      <c r="G22" s="9">
        <v>1</v>
      </c>
      <c r="H22" s="9" t="s">
        <v>20</v>
      </c>
      <c r="I22" s="9">
        <v>2</v>
      </c>
      <c r="J22" s="9" t="s">
        <v>20</v>
      </c>
      <c r="K22" s="9">
        <v>3</v>
      </c>
      <c r="L22" s="9" t="s">
        <v>21</v>
      </c>
      <c r="M22" s="9" t="str">
        <f t="shared" si="0"/>
        <v>EsD011-1d3s</v>
      </c>
      <c r="N22" s="9">
        <v>2</v>
      </c>
      <c r="O22" s="2" t="str">
        <f t="shared" si="1"/>
        <v>Uma vez por dia, a cada 2 dias, por um período de 3 semanas</v>
      </c>
    </row>
    <row r="23" spans="1:15" x14ac:dyDescent="0.25">
      <c r="A23" s="2" t="s">
        <v>15</v>
      </c>
      <c r="B23" s="2" t="s">
        <v>41</v>
      </c>
      <c r="C23" s="2" t="s">
        <v>78</v>
      </c>
      <c r="D23" s="9">
        <v>3</v>
      </c>
      <c r="E23" s="9">
        <v>2</v>
      </c>
      <c r="F23" s="9">
        <v>12</v>
      </c>
      <c r="G23" s="9">
        <v>1</v>
      </c>
      <c r="H23" s="9" t="s">
        <v>21</v>
      </c>
      <c r="I23" s="9"/>
      <c r="J23" s="9"/>
      <c r="K23" s="9">
        <v>1</v>
      </c>
      <c r="L23" s="9" t="s">
        <v>21</v>
      </c>
      <c r="M23" s="9" t="str">
        <f t="shared" si="0"/>
        <v>EsD012-1s1s</v>
      </c>
      <c r="N23" s="9">
        <v>2</v>
      </c>
      <c r="O23" s="2" t="str">
        <f t="shared" si="1"/>
        <v>Uma vez por semana por um período de 1 semana</v>
      </c>
    </row>
    <row r="24" spans="1:15" x14ac:dyDescent="0.25">
      <c r="A24" s="2" t="s">
        <v>15</v>
      </c>
      <c r="B24" s="2" t="s">
        <v>50</v>
      </c>
      <c r="C24" s="2" t="s">
        <v>79</v>
      </c>
      <c r="D24" s="9">
        <v>3</v>
      </c>
      <c r="E24" s="9">
        <v>3</v>
      </c>
      <c r="F24" s="9">
        <v>1</v>
      </c>
      <c r="G24" s="9">
        <v>1</v>
      </c>
      <c r="H24" s="9" t="s">
        <v>20</v>
      </c>
      <c r="I24" s="9">
        <v>3</v>
      </c>
      <c r="J24" s="9" t="s">
        <v>21</v>
      </c>
      <c r="K24" s="9">
        <v>3</v>
      </c>
      <c r="L24" s="9" t="s">
        <v>21</v>
      </c>
      <c r="M24" s="9" t="str">
        <f t="shared" si="0"/>
        <v>EsA001-1d3s</v>
      </c>
      <c r="N24" s="9">
        <v>3</v>
      </c>
      <c r="O24" s="2" t="str">
        <f t="shared" si="1"/>
        <v>Uma vez por dia, a cada 3 semanas, por um período de 3 semanas</v>
      </c>
    </row>
    <row r="25" spans="1:15" x14ac:dyDescent="0.25">
      <c r="A25" s="2" t="s">
        <v>15</v>
      </c>
      <c r="B25" s="2" t="s">
        <v>50</v>
      </c>
      <c r="C25" s="2" t="s">
        <v>80</v>
      </c>
      <c r="D25" s="9">
        <v>3</v>
      </c>
      <c r="E25" s="9">
        <v>3</v>
      </c>
      <c r="F25" s="9">
        <v>2</v>
      </c>
      <c r="G25" s="9">
        <v>3</v>
      </c>
      <c r="H25" s="9" t="s">
        <v>20</v>
      </c>
      <c r="I25" s="9">
        <v>1</v>
      </c>
      <c r="J25" s="9" t="s">
        <v>20</v>
      </c>
      <c r="K25" s="9">
        <v>5</v>
      </c>
      <c r="L25" s="9" t="s">
        <v>20</v>
      </c>
      <c r="M25" s="9" t="str">
        <f t="shared" si="0"/>
        <v>EsA002-3d5d</v>
      </c>
      <c r="N25" s="9">
        <v>3</v>
      </c>
      <c r="O25" s="2" t="str">
        <f t="shared" si="1"/>
        <v>3 vezes por dia, a cada 1 dia, por um período de 5 dias</v>
      </c>
    </row>
    <row r="26" spans="1:15" x14ac:dyDescent="0.25">
      <c r="A26" s="2" t="s">
        <v>15</v>
      </c>
      <c r="B26" s="2" t="s">
        <v>50</v>
      </c>
      <c r="C26" s="2" t="s">
        <v>81</v>
      </c>
      <c r="D26" s="9">
        <v>3</v>
      </c>
      <c r="E26" s="9">
        <v>3</v>
      </c>
      <c r="F26" s="9">
        <v>3</v>
      </c>
      <c r="G26" s="9">
        <v>1</v>
      </c>
      <c r="H26" s="9" t="s">
        <v>20</v>
      </c>
      <c r="I26" s="9">
        <v>3</v>
      </c>
      <c r="J26" s="9" t="s">
        <v>20</v>
      </c>
      <c r="K26" s="9">
        <v>9</v>
      </c>
      <c r="L26" s="9" t="s">
        <v>20</v>
      </c>
      <c r="M26" s="9" t="str">
        <f t="shared" si="0"/>
        <v>EsA003-1d9d</v>
      </c>
      <c r="N26" s="9">
        <v>3</v>
      </c>
      <c r="O26" s="2" t="str">
        <f t="shared" si="1"/>
        <v>Uma vez por dia, a cada 3 dias, por um período de 9 dias</v>
      </c>
    </row>
    <row r="27" spans="1:15" x14ac:dyDescent="0.25">
      <c r="A27" s="2" t="s">
        <v>15</v>
      </c>
      <c r="B27" s="2" t="s">
        <v>50</v>
      </c>
      <c r="C27" s="2" t="s">
        <v>82</v>
      </c>
      <c r="D27" s="9">
        <v>3</v>
      </c>
      <c r="E27" s="9">
        <v>3</v>
      </c>
      <c r="F27" s="9">
        <v>4</v>
      </c>
      <c r="G27" s="9">
        <v>1</v>
      </c>
      <c r="H27" s="9" t="s">
        <v>21</v>
      </c>
      <c r="I27" s="9">
        <v>1</v>
      </c>
      <c r="J27" s="9" t="s">
        <v>21</v>
      </c>
      <c r="K27" s="9">
        <v>2</v>
      </c>
      <c r="L27" s="9" t="s">
        <v>21</v>
      </c>
      <c r="M27" s="9" t="str">
        <f t="shared" si="0"/>
        <v>EsA004-1s2s</v>
      </c>
      <c r="N27" s="9">
        <v>3</v>
      </c>
      <c r="O27" s="2" t="str">
        <f t="shared" si="1"/>
        <v>Uma vez por semana, a cada 1 semana, por um período de 2 semanas</v>
      </c>
    </row>
    <row r="28" spans="1:15" x14ac:dyDescent="0.25">
      <c r="A28" s="2" t="s">
        <v>15</v>
      </c>
      <c r="B28" s="2" t="s">
        <v>50</v>
      </c>
      <c r="C28" s="2" t="s">
        <v>233</v>
      </c>
      <c r="D28" s="9">
        <v>3</v>
      </c>
      <c r="E28" s="9">
        <v>3</v>
      </c>
      <c r="F28" s="9">
        <v>5</v>
      </c>
      <c r="G28" s="9">
        <v>1</v>
      </c>
      <c r="H28" s="9" t="s">
        <v>21</v>
      </c>
      <c r="I28" s="9"/>
      <c r="J28" s="9"/>
      <c r="K28" s="9">
        <v>1</v>
      </c>
      <c r="L28" s="9" t="s">
        <v>21</v>
      </c>
      <c r="M28" s="9" t="str">
        <f t="shared" si="0"/>
        <v>EsA005-1s1s</v>
      </c>
      <c r="N28" s="9">
        <v>3</v>
      </c>
      <c r="O28" s="2" t="str">
        <f t="shared" si="1"/>
        <v>Uma vez por semana por um período de 1 semana</v>
      </c>
    </row>
    <row r="29" spans="1:15" x14ac:dyDescent="0.25">
      <c r="A29" s="2" t="s">
        <v>15</v>
      </c>
      <c r="B29" s="2" t="s">
        <v>50</v>
      </c>
      <c r="C29" s="2" t="s">
        <v>83</v>
      </c>
      <c r="D29" s="9">
        <v>3</v>
      </c>
      <c r="E29" s="9">
        <v>3</v>
      </c>
      <c r="F29" s="9">
        <v>6</v>
      </c>
      <c r="G29" s="9">
        <v>1</v>
      </c>
      <c r="H29" s="9" t="s">
        <v>21</v>
      </c>
      <c r="I29" s="9">
        <v>1</v>
      </c>
      <c r="J29" s="9" t="s">
        <v>21</v>
      </c>
      <c r="K29" s="9">
        <v>2</v>
      </c>
      <c r="L29" s="9" t="s">
        <v>21</v>
      </c>
      <c r="M29" s="9" t="str">
        <f t="shared" si="0"/>
        <v>EsA006-1s2s</v>
      </c>
      <c r="N29" s="9">
        <v>3</v>
      </c>
      <c r="O29" s="2" t="str">
        <f t="shared" si="1"/>
        <v>Uma vez por semana, a cada 1 semana, por um período de 2 semanas</v>
      </c>
    </row>
    <row r="30" spans="1:15" x14ac:dyDescent="0.25">
      <c r="A30" s="2" t="s">
        <v>15</v>
      </c>
      <c r="B30" s="2" t="s">
        <v>50</v>
      </c>
      <c r="C30" s="2" t="s">
        <v>84</v>
      </c>
      <c r="D30" s="9">
        <v>3</v>
      </c>
      <c r="E30" s="9">
        <v>3</v>
      </c>
      <c r="F30" s="9">
        <v>7</v>
      </c>
      <c r="G30" s="9">
        <v>1</v>
      </c>
      <c r="H30" s="9" t="s">
        <v>20</v>
      </c>
      <c r="I30" s="9"/>
      <c r="J30" s="9"/>
      <c r="K30" s="9">
        <v>1</v>
      </c>
      <c r="L30" s="9" t="s">
        <v>21</v>
      </c>
      <c r="M30" s="9" t="str">
        <f t="shared" si="0"/>
        <v>EsA007-1d1s</v>
      </c>
      <c r="N30" s="9">
        <v>3</v>
      </c>
      <c r="O30" s="2" t="str">
        <f t="shared" si="1"/>
        <v>Uma vez por dia por um período de 1 semana</v>
      </c>
    </row>
    <row r="31" spans="1:15" x14ac:dyDescent="0.25">
      <c r="A31" s="2" t="s">
        <v>15</v>
      </c>
      <c r="B31" s="2" t="s">
        <v>50</v>
      </c>
      <c r="C31" s="2" t="s">
        <v>85</v>
      </c>
      <c r="D31" s="9">
        <v>3</v>
      </c>
      <c r="E31" s="9">
        <v>3</v>
      </c>
      <c r="F31" s="9">
        <v>8</v>
      </c>
      <c r="G31" s="9">
        <v>1</v>
      </c>
      <c r="H31" s="9" t="s">
        <v>20</v>
      </c>
      <c r="I31" s="9">
        <v>3</v>
      </c>
      <c r="J31" s="9" t="s">
        <v>20</v>
      </c>
      <c r="K31" s="9">
        <v>9</v>
      </c>
      <c r="L31" s="9" t="s">
        <v>20</v>
      </c>
      <c r="M31" s="9" t="str">
        <f t="shared" si="0"/>
        <v>EsA008-1d9d</v>
      </c>
      <c r="N31" s="9">
        <v>3</v>
      </c>
      <c r="O31" s="2" t="str">
        <f t="shared" si="1"/>
        <v>Uma vez por dia, a cada 3 dias, por um período de 9 dias</v>
      </c>
    </row>
    <row r="32" spans="1:15" x14ac:dyDescent="0.25">
      <c r="A32" s="2" t="s">
        <v>15</v>
      </c>
      <c r="B32" s="2" t="s">
        <v>50</v>
      </c>
      <c r="C32" s="2" t="s">
        <v>86</v>
      </c>
      <c r="D32" s="9">
        <v>3</v>
      </c>
      <c r="E32" s="9">
        <v>3</v>
      </c>
      <c r="F32" s="9">
        <v>9</v>
      </c>
      <c r="G32" s="9">
        <v>1</v>
      </c>
      <c r="H32" s="9" t="s">
        <v>20</v>
      </c>
      <c r="I32" s="9">
        <v>2</v>
      </c>
      <c r="J32" s="9" t="s">
        <v>20</v>
      </c>
      <c r="K32" s="9">
        <v>1</v>
      </c>
      <c r="L32" s="9" t="s">
        <v>21</v>
      </c>
      <c r="M32" s="9" t="str">
        <f t="shared" si="0"/>
        <v>EsA009-1d1s</v>
      </c>
      <c r="N32" s="9">
        <v>3</v>
      </c>
      <c r="O32" s="2" t="str">
        <f t="shared" si="1"/>
        <v>Uma vez por dia, a cada 2 dias, por um período de 1 semana</v>
      </c>
    </row>
    <row r="33" spans="1:15" x14ac:dyDescent="0.25">
      <c r="A33" s="2" t="s">
        <v>15</v>
      </c>
      <c r="B33" s="2" t="s">
        <v>50</v>
      </c>
      <c r="C33" s="2" t="s">
        <v>87</v>
      </c>
      <c r="D33" s="9">
        <v>3</v>
      </c>
      <c r="E33" s="9">
        <v>3</v>
      </c>
      <c r="F33" s="9">
        <v>10</v>
      </c>
      <c r="G33" s="9">
        <v>1</v>
      </c>
      <c r="H33" s="9" t="s">
        <v>21</v>
      </c>
      <c r="I33" s="9">
        <v>1</v>
      </c>
      <c r="J33" s="9" t="s">
        <v>21</v>
      </c>
      <c r="K33" s="9">
        <v>4</v>
      </c>
      <c r="L33" s="9" t="s">
        <v>21</v>
      </c>
      <c r="M33" s="9" t="str">
        <f t="shared" si="0"/>
        <v>EsA010-1s4s</v>
      </c>
      <c r="N33" s="9">
        <v>3</v>
      </c>
      <c r="O33" s="2" t="str">
        <f t="shared" si="1"/>
        <v>Uma vez por semana, a cada 1 semana, por um período de 4 semanas</v>
      </c>
    </row>
    <row r="34" spans="1:15" x14ac:dyDescent="0.25">
      <c r="A34" s="2" t="s">
        <v>15</v>
      </c>
      <c r="B34" s="2" t="s">
        <v>50</v>
      </c>
      <c r="C34" s="2" t="s">
        <v>88</v>
      </c>
      <c r="D34" s="9">
        <v>3</v>
      </c>
      <c r="E34" s="9">
        <v>3</v>
      </c>
      <c r="F34" s="9">
        <v>11</v>
      </c>
      <c r="G34" s="9">
        <v>1</v>
      </c>
      <c r="H34" s="9" t="s">
        <v>20</v>
      </c>
      <c r="I34" s="9">
        <v>1</v>
      </c>
      <c r="J34" s="9" t="s">
        <v>20</v>
      </c>
      <c r="K34" s="9">
        <v>21</v>
      </c>
      <c r="L34" s="9" t="s">
        <v>20</v>
      </c>
      <c r="M34" s="9" t="str">
        <f t="shared" si="0"/>
        <v>EsA011-1d21d</v>
      </c>
      <c r="N34" s="9">
        <v>3</v>
      </c>
      <c r="O34" s="2" t="str">
        <f t="shared" si="1"/>
        <v>Uma vez por dia, a cada 1 dia, por um período de 21 dias</v>
      </c>
    </row>
    <row r="35" spans="1:15" x14ac:dyDescent="0.25">
      <c r="A35" s="2" t="s">
        <v>15</v>
      </c>
      <c r="B35" s="2" t="s">
        <v>50</v>
      </c>
      <c r="C35" s="2" t="s">
        <v>89</v>
      </c>
      <c r="D35" s="9">
        <v>3</v>
      </c>
      <c r="E35" s="9">
        <v>3</v>
      </c>
      <c r="F35" s="9">
        <v>12</v>
      </c>
      <c r="G35" s="9">
        <v>1</v>
      </c>
      <c r="H35" s="9" t="s">
        <v>21</v>
      </c>
      <c r="I35" s="9">
        <v>2</v>
      </c>
      <c r="J35" s="9" t="s">
        <v>21</v>
      </c>
      <c r="K35" s="9">
        <v>4</v>
      </c>
      <c r="L35" s="9" t="s">
        <v>21</v>
      </c>
      <c r="M35" s="9" t="str">
        <f t="shared" si="0"/>
        <v>EsA012-1s4s</v>
      </c>
      <c r="N35" s="9">
        <v>3</v>
      </c>
      <c r="O35" s="2" t="str">
        <f t="shared" si="1"/>
        <v>Uma vez por semana, a cada 2 semanas, por um período de 4 semanas</v>
      </c>
    </row>
    <row r="36" spans="1:15" x14ac:dyDescent="0.25">
      <c r="A36" s="2" t="s">
        <v>15</v>
      </c>
      <c r="B36" s="2" t="s">
        <v>50</v>
      </c>
      <c r="C36" s="2" t="s">
        <v>90</v>
      </c>
      <c r="D36" s="9">
        <v>3</v>
      </c>
      <c r="E36" s="9">
        <v>3</v>
      </c>
      <c r="F36" s="9">
        <v>13</v>
      </c>
      <c r="G36" s="9">
        <v>0</v>
      </c>
      <c r="H36" s="9" t="s">
        <v>20</v>
      </c>
      <c r="I36" s="9">
        <v>1</v>
      </c>
      <c r="J36" s="9" t="s">
        <v>20</v>
      </c>
      <c r="K36" s="9">
        <v>4</v>
      </c>
      <c r="L36" s="9" t="s">
        <v>21</v>
      </c>
      <c r="M36" s="9" t="str">
        <f t="shared" si="0"/>
        <v>EsA013-0d4s</v>
      </c>
      <c r="N36" s="9">
        <v>3</v>
      </c>
      <c r="O36" s="2" t="str">
        <f t="shared" si="1"/>
        <v>O dia inteiro, a cada 1 dia, por um período de 4 semanas</v>
      </c>
    </row>
    <row r="37" spans="1:15" x14ac:dyDescent="0.25">
      <c r="A37" s="2" t="s">
        <v>15</v>
      </c>
      <c r="B37" s="2" t="s">
        <v>50</v>
      </c>
      <c r="C37" s="2" t="s">
        <v>91</v>
      </c>
      <c r="D37" s="9">
        <v>3</v>
      </c>
      <c r="E37" s="9">
        <v>3</v>
      </c>
      <c r="F37" s="9">
        <v>14</v>
      </c>
      <c r="G37" s="9">
        <v>1</v>
      </c>
      <c r="H37" s="9" t="s">
        <v>20</v>
      </c>
      <c r="I37" s="9">
        <v>1</v>
      </c>
      <c r="J37" s="9" t="s">
        <v>20</v>
      </c>
      <c r="K37" s="9">
        <v>2</v>
      </c>
      <c r="L37" s="9" t="s">
        <v>21</v>
      </c>
      <c r="M37" s="9" t="str">
        <f t="shared" si="0"/>
        <v>EsA014-1d2s</v>
      </c>
      <c r="N37" s="9">
        <v>3</v>
      </c>
      <c r="O37" s="2" t="str">
        <f t="shared" si="1"/>
        <v>Uma vez por dia, a cada 1 dia, por um período de 2 semanas</v>
      </c>
    </row>
    <row r="38" spans="1:15" x14ac:dyDescent="0.25">
      <c r="A38" s="2" t="s">
        <v>15</v>
      </c>
      <c r="B38" s="2" t="s">
        <v>50</v>
      </c>
      <c r="C38" s="2" t="s">
        <v>92</v>
      </c>
      <c r="D38" s="9">
        <v>3</v>
      </c>
      <c r="E38" s="9">
        <v>3</v>
      </c>
      <c r="F38" s="9">
        <v>15</v>
      </c>
      <c r="G38" s="9">
        <v>1</v>
      </c>
      <c r="H38" s="9" t="s">
        <v>20</v>
      </c>
      <c r="I38" s="9">
        <v>1</v>
      </c>
      <c r="J38" s="9" t="s">
        <v>20</v>
      </c>
      <c r="K38" s="9">
        <v>6</v>
      </c>
      <c r="L38" s="9" t="s">
        <v>21</v>
      </c>
      <c r="M38" s="9" t="str">
        <f t="shared" si="0"/>
        <v>EsA015-1d6s</v>
      </c>
      <c r="N38" s="9">
        <v>3</v>
      </c>
      <c r="O38" s="2" t="str">
        <f t="shared" si="1"/>
        <v>Uma vez por dia, a cada 1 dia, por um período de 6 semanas</v>
      </c>
    </row>
  </sheetData>
  <dataValidations disablePrompts="1" count="1">
    <dataValidation type="whole" operator="greaterThanOrEqual" allowBlank="1" showInputMessage="1" showErrorMessage="1" errorTitle="Número inválido" error="Informe um número inteiro maior ou igual a 0" sqref="I2:I1036 K2:K1036 G2:G1036" xr:uid="{00000000-0002-0000-0300-000003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Unidade inválida" error="Use apenas: d (dia) ou s (semana)" xr:uid="{00000000-0002-0000-0300-000000000000}">
          <x14:formula1>
            <xm:f>_DV!$A$1:$A$2</xm:f>
          </x14:formula1>
          <xm:sqref>J2:J1036 L2:L1036 H2:H1036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41"/>
  <sheetViews>
    <sheetView zoomScale="90" zoomScaleNormal="90" workbookViewId="0">
      <pane ySplit="1" topLeftCell="A2" activePane="bottomLeft" state="frozen"/>
      <selection pane="bottomLeft" activeCell="K8" sqref="K8"/>
    </sheetView>
  </sheetViews>
  <sheetFormatPr defaultRowHeight="15" x14ac:dyDescent="0.25"/>
  <cols>
    <col min="1" max="1" width="10.140625" bestFit="1" customWidth="1"/>
    <col min="2" max="2" width="11.85546875" customWidth="1"/>
    <col min="3" max="3" width="59" bestFit="1" customWidth="1"/>
    <col min="4" max="9" width="4.28515625" style="10" bestFit="1" customWidth="1"/>
    <col min="10" max="10" width="12.42578125" style="10" bestFit="1" customWidth="1"/>
    <col min="11" max="12" width="4.28515625" style="10" bestFit="1" customWidth="1"/>
    <col min="13" max="13" width="13.85546875" style="10" bestFit="1" customWidth="1"/>
    <col min="14" max="14" width="4.28515625" style="10" bestFit="1" customWidth="1"/>
    <col min="15" max="15" width="81.85546875" bestFit="1" customWidth="1"/>
  </cols>
  <sheetData>
    <row r="1" spans="1:15" ht="109.5" x14ac:dyDescent="0.25">
      <c r="A1" s="11" t="s">
        <v>22</v>
      </c>
      <c r="B1" s="11" t="s">
        <v>301</v>
      </c>
      <c r="C1" s="11" t="s">
        <v>23</v>
      </c>
      <c r="D1" s="11" t="s">
        <v>24</v>
      </c>
      <c r="E1" s="11" t="s">
        <v>302</v>
      </c>
      <c r="F1" s="11" t="s">
        <v>25</v>
      </c>
      <c r="G1" s="11" t="s">
        <v>26</v>
      </c>
      <c r="H1" s="11" t="s">
        <v>27</v>
      </c>
      <c r="I1" s="11" t="s">
        <v>305</v>
      </c>
      <c r="J1" s="11" t="s">
        <v>306</v>
      </c>
      <c r="K1" s="11" t="s">
        <v>28</v>
      </c>
      <c r="L1" s="11" t="s">
        <v>29</v>
      </c>
      <c r="M1" s="11" t="s">
        <v>30</v>
      </c>
      <c r="N1" s="11" t="s">
        <v>31</v>
      </c>
      <c r="O1" s="13" t="s">
        <v>307</v>
      </c>
    </row>
    <row r="2" spans="1:15" x14ac:dyDescent="0.25">
      <c r="A2" s="2" t="s">
        <v>16</v>
      </c>
      <c r="B2" s="2" t="s">
        <v>32</v>
      </c>
      <c r="C2" s="2" t="s">
        <v>98</v>
      </c>
      <c r="D2" s="9">
        <v>6</v>
      </c>
      <c r="E2" s="9">
        <v>1</v>
      </c>
      <c r="F2" s="9">
        <v>6</v>
      </c>
      <c r="G2" s="9">
        <v>1</v>
      </c>
      <c r="H2" s="9" t="s">
        <v>20</v>
      </c>
      <c r="I2" s="9">
        <v>3</v>
      </c>
      <c r="J2" s="9" t="s">
        <v>20</v>
      </c>
      <c r="K2" s="9">
        <v>3</v>
      </c>
      <c r="L2" s="9" t="s">
        <v>21</v>
      </c>
      <c r="M2" s="9" t="str">
        <f t="shared" ref="M2:M39" si="0">LEFT(A2,2)&amp;LEFT(B2,1)&amp;TEXT(F2,"000")&amp;"-"&amp;(G2)&amp;H2&amp;(K2)&amp;L2</f>
        <v>EuB006-1d3s</v>
      </c>
      <c r="N2" s="9">
        <v>1</v>
      </c>
      <c r="O2" s="2" t="str">
        <f>IF(
  AND(G2="",H2="",I2="",J2="",K2="",L2=""),
  "Fique atento para a primeira oportunidade que surgir",
  IF(AND(G2=0,LOWER(H2)="d",K2=0,LOWER(L2)="d"),
     "Fique atento para a primeira oportunidade que surgir",
     IF(AND(G2=1,LOWER(H2)="d",K2=1,LOWER(L2)="d"),
        "Pelo menos uma vez",
        IF(G2=0,"O dia inteiro",IF(G2=1,"Uma vez",TEXT(G2,"0")&amp;" vezes")&amp;" por "&amp;IF(LOWER(H2)="d","dia","semana"))
        &amp;IF(AND(ISNUMBER(I2),I2&gt;0),", a cada "&amp;TEXT(I2,"0")&amp;" "&amp;IF(I2=1,IF(LOWER(J2)="d","dia","semana"),IF(LOWER(J2)="d","dias","semanas"))&amp;",","")
        &amp;" por um período de "&amp;TEXT(K2,"0")&amp;" "&amp;IF(K2=1,IF(LOWER(L2)="d","dia","semana"),IF(LOWER(L2)="d","dias","semanas"))
     )
  )
)</f>
        <v>Uma vez por dia, a cada 3 dias, por um período de 3 semanas</v>
      </c>
    </row>
    <row r="3" spans="1:15" x14ac:dyDescent="0.25">
      <c r="A3" s="2" t="s">
        <v>16</v>
      </c>
      <c r="B3" s="2" t="s">
        <v>41</v>
      </c>
      <c r="C3" s="2" t="s">
        <v>107</v>
      </c>
      <c r="D3" s="9">
        <v>6</v>
      </c>
      <c r="E3" s="9">
        <v>2</v>
      </c>
      <c r="F3" s="9">
        <v>7</v>
      </c>
      <c r="G3" s="9">
        <v>1</v>
      </c>
      <c r="H3" s="9" t="s">
        <v>20</v>
      </c>
      <c r="I3" s="9"/>
      <c r="J3" s="9"/>
      <c r="K3" s="9">
        <v>4</v>
      </c>
      <c r="L3" s="9" t="s">
        <v>21</v>
      </c>
      <c r="M3" s="9" t="str">
        <f t="shared" si="0"/>
        <v>EuD007-1d4s</v>
      </c>
      <c r="N3" s="9">
        <v>2</v>
      </c>
      <c r="O3" s="2" t="str">
        <f t="shared" ref="O3:O38" si="1">IF(
  AND(G3="",H3="",I3="",J3="",K3="",L3=""),
  "Fique atento para a primeira oportunidade que surgir",
  IF(AND(G3=0,LOWER(H3)="d",K3=0,LOWER(L3)="d"),
     "Fique atento para a primeira oportunidade que surgir",
     IF(AND(G3=1,LOWER(H3)="d",K3=1,LOWER(L3)="d"),
        "Pelo menos uma vez",
        IF(G3=0,"O dia inteiro",IF(G3=1,"Uma vez",TEXT(G3,"0")&amp;" vezes")&amp;" por "&amp;IF(LOWER(H3)="d","dia","semana"))
        &amp;IF(AND(ISNUMBER(I3),I3&gt;0),", a cada "&amp;TEXT(I3,"0")&amp;" "&amp;IF(I3=1,IF(LOWER(J3)="d","dia","semana"),IF(LOWER(J3)="d","dias","semanas"))&amp;",","")
        &amp;" por um período de "&amp;TEXT(K3,"0")&amp;" "&amp;IF(K3=1,IF(LOWER(L3)="d","dia","semana"),IF(LOWER(L3)="d","dias","semanas"))
     )
  )
)</f>
        <v>Uma vez por dia por um período de 4 semanas</v>
      </c>
    </row>
    <row r="4" spans="1:15" x14ac:dyDescent="0.25">
      <c r="A4" s="2" t="s">
        <v>16</v>
      </c>
      <c r="B4" s="2" t="s">
        <v>32</v>
      </c>
      <c r="C4" s="2" t="s">
        <v>93</v>
      </c>
      <c r="D4" s="9">
        <v>6</v>
      </c>
      <c r="E4" s="9">
        <v>1</v>
      </c>
      <c r="F4" s="9">
        <v>1</v>
      </c>
      <c r="G4" s="9">
        <v>1</v>
      </c>
      <c r="H4" s="9" t="s">
        <v>20</v>
      </c>
      <c r="I4" s="9"/>
      <c r="J4" s="9"/>
      <c r="K4" s="9">
        <v>3</v>
      </c>
      <c r="L4" s="9" t="s">
        <v>21</v>
      </c>
      <c r="M4" s="9" t="str">
        <f t="shared" si="0"/>
        <v>EuB001-1d3s</v>
      </c>
      <c r="N4" s="9">
        <v>1</v>
      </c>
      <c r="O4" s="2" t="str">
        <f t="shared" si="1"/>
        <v>Uma vez por dia por um período de 3 semanas</v>
      </c>
    </row>
    <row r="5" spans="1:15" x14ac:dyDescent="0.25">
      <c r="A5" s="2" t="s">
        <v>16</v>
      </c>
      <c r="B5" s="2" t="s">
        <v>50</v>
      </c>
      <c r="C5" s="2" t="s">
        <v>111</v>
      </c>
      <c r="D5" s="9">
        <v>6</v>
      </c>
      <c r="E5" s="9">
        <v>3</v>
      </c>
      <c r="F5" s="9">
        <v>1</v>
      </c>
      <c r="G5" s="9">
        <v>5</v>
      </c>
      <c r="H5" s="9" t="s">
        <v>21</v>
      </c>
      <c r="I5" s="9"/>
      <c r="J5" s="9"/>
      <c r="K5" s="9">
        <v>4</v>
      </c>
      <c r="L5" s="9" t="s">
        <v>21</v>
      </c>
      <c r="M5" s="9" t="str">
        <f t="shared" si="0"/>
        <v>EuA001-5s4s</v>
      </c>
      <c r="N5" s="9">
        <v>3</v>
      </c>
      <c r="O5" s="2" t="str">
        <f t="shared" si="1"/>
        <v>5 vezes por semana por um período de 4 semanas</v>
      </c>
    </row>
    <row r="6" spans="1:15" x14ac:dyDescent="0.25">
      <c r="A6" s="2" t="s">
        <v>16</v>
      </c>
      <c r="B6" s="2" t="s">
        <v>50</v>
      </c>
      <c r="C6" s="2" t="s">
        <v>116</v>
      </c>
      <c r="D6" s="9">
        <v>6</v>
      </c>
      <c r="E6" s="9">
        <v>3</v>
      </c>
      <c r="F6" s="9">
        <v>6</v>
      </c>
      <c r="G6" s="9">
        <v>1</v>
      </c>
      <c r="H6" s="9" t="s">
        <v>20</v>
      </c>
      <c r="I6" s="9"/>
      <c r="J6" s="9"/>
      <c r="K6" s="9">
        <v>4</v>
      </c>
      <c r="L6" s="9" t="s">
        <v>21</v>
      </c>
      <c r="M6" s="9" t="str">
        <f t="shared" si="0"/>
        <v>EuA006-1d4s</v>
      </c>
      <c r="N6" s="9">
        <v>3</v>
      </c>
      <c r="O6" s="2" t="str">
        <f t="shared" si="1"/>
        <v>Uma vez por dia por um período de 4 semanas</v>
      </c>
    </row>
    <row r="7" spans="1:15" x14ac:dyDescent="0.25">
      <c r="A7" s="2" t="s">
        <v>16</v>
      </c>
      <c r="B7" s="2" t="s">
        <v>32</v>
      </c>
      <c r="C7" s="2" t="s">
        <v>229</v>
      </c>
      <c r="D7" s="9">
        <v>6</v>
      </c>
      <c r="E7" s="9">
        <v>1</v>
      </c>
      <c r="F7" s="9">
        <v>9</v>
      </c>
      <c r="G7" s="9">
        <v>1</v>
      </c>
      <c r="H7" s="9" t="s">
        <v>20</v>
      </c>
      <c r="I7" s="9">
        <v>3</v>
      </c>
      <c r="J7" s="9" t="s">
        <v>20</v>
      </c>
      <c r="K7" s="9">
        <v>3</v>
      </c>
      <c r="L7" s="9" t="s">
        <v>21</v>
      </c>
      <c r="M7" s="9" t="str">
        <f t="shared" si="0"/>
        <v>EuB009-1d3s</v>
      </c>
      <c r="N7" s="9">
        <v>1</v>
      </c>
      <c r="O7" s="2" t="str">
        <f t="shared" si="1"/>
        <v>Uma vez por dia, a cada 3 dias, por um período de 3 semanas</v>
      </c>
    </row>
    <row r="8" spans="1:15" x14ac:dyDescent="0.25">
      <c r="A8" s="2" t="s">
        <v>16</v>
      </c>
      <c r="B8" s="2" t="s">
        <v>50</v>
      </c>
      <c r="C8" s="2" t="s">
        <v>125</v>
      </c>
      <c r="D8" s="9">
        <v>6</v>
      </c>
      <c r="E8" s="9">
        <v>3</v>
      </c>
      <c r="F8" s="9">
        <v>15</v>
      </c>
      <c r="G8" s="9">
        <v>1</v>
      </c>
      <c r="H8" s="9" t="s">
        <v>20</v>
      </c>
      <c r="I8" s="9"/>
      <c r="J8" s="9"/>
      <c r="K8" s="9">
        <v>1</v>
      </c>
      <c r="L8" s="9" t="s">
        <v>20</v>
      </c>
      <c r="M8" s="9" t="str">
        <f t="shared" si="0"/>
        <v>EuA015-1d1d</v>
      </c>
      <c r="N8" s="9">
        <v>3</v>
      </c>
      <c r="O8" s="2" t="str">
        <f t="shared" si="1"/>
        <v>Pelo menos uma vez</v>
      </c>
    </row>
    <row r="9" spans="1:15" x14ac:dyDescent="0.25">
      <c r="A9" s="2" t="s">
        <v>16</v>
      </c>
      <c r="B9" s="2" t="s">
        <v>41</v>
      </c>
      <c r="C9" s="2" t="s">
        <v>108</v>
      </c>
      <c r="D9" s="9">
        <v>6</v>
      </c>
      <c r="E9" s="9">
        <v>2</v>
      </c>
      <c r="F9" s="9">
        <v>8</v>
      </c>
      <c r="G9" s="9">
        <v>0</v>
      </c>
      <c r="H9" s="9" t="s">
        <v>20</v>
      </c>
      <c r="I9" s="9">
        <v>1</v>
      </c>
      <c r="J9" s="9" t="s">
        <v>21</v>
      </c>
      <c r="K9" s="9">
        <v>4</v>
      </c>
      <c r="L9" s="9" t="s">
        <v>21</v>
      </c>
      <c r="M9" s="9" t="str">
        <f t="shared" si="0"/>
        <v>EuD008-0d4s</v>
      </c>
      <c r="N9" s="9">
        <v>2</v>
      </c>
      <c r="O9" s="2" t="str">
        <f t="shared" si="1"/>
        <v>O dia inteiro, a cada 1 semana, por um período de 4 semanas</v>
      </c>
    </row>
    <row r="10" spans="1:15" x14ac:dyDescent="0.25">
      <c r="A10" s="2" t="s">
        <v>16</v>
      </c>
      <c r="B10" s="2" t="s">
        <v>32</v>
      </c>
      <c r="C10" s="2" t="s">
        <v>97</v>
      </c>
      <c r="D10" s="9">
        <v>6</v>
      </c>
      <c r="E10" s="9">
        <v>1</v>
      </c>
      <c r="F10" s="9">
        <v>5</v>
      </c>
      <c r="G10" s="9">
        <v>0</v>
      </c>
      <c r="H10" s="9" t="s">
        <v>20</v>
      </c>
      <c r="I10" s="9"/>
      <c r="J10" s="9"/>
      <c r="K10" s="9">
        <v>0</v>
      </c>
      <c r="L10" s="9" t="s">
        <v>20</v>
      </c>
      <c r="M10" s="9" t="str">
        <f t="shared" si="0"/>
        <v>EuB005-0d0d</v>
      </c>
      <c r="N10" s="9">
        <v>2</v>
      </c>
      <c r="O10" s="2" t="str">
        <f t="shared" si="1"/>
        <v>Fique atento para a primeira oportunidade que surgir</v>
      </c>
    </row>
    <row r="11" spans="1:15" x14ac:dyDescent="0.25">
      <c r="A11" s="2" t="s">
        <v>16</v>
      </c>
      <c r="B11" s="2" t="s">
        <v>50</v>
      </c>
      <c r="C11" s="2" t="s">
        <v>120</v>
      </c>
      <c r="D11" s="9">
        <v>6</v>
      </c>
      <c r="E11" s="9">
        <v>3</v>
      </c>
      <c r="F11" s="9">
        <v>10</v>
      </c>
      <c r="G11" s="9">
        <v>0</v>
      </c>
      <c r="H11" s="9" t="s">
        <v>20</v>
      </c>
      <c r="I11" s="9">
        <v>8</v>
      </c>
      <c r="J11" s="9" t="s">
        <v>21</v>
      </c>
      <c r="K11" s="9">
        <v>8</v>
      </c>
      <c r="L11" s="9" t="s">
        <v>21</v>
      </c>
      <c r="M11" s="9" t="str">
        <f t="shared" si="0"/>
        <v>EuA010-0d8s</v>
      </c>
      <c r="N11" s="9">
        <v>3</v>
      </c>
      <c r="O11" s="2" t="str">
        <f t="shared" si="1"/>
        <v>O dia inteiro, a cada 8 semanas, por um período de 8 semanas</v>
      </c>
    </row>
    <row r="12" spans="1:15" x14ac:dyDescent="0.25">
      <c r="A12" s="2" t="s">
        <v>16</v>
      </c>
      <c r="B12" s="2" t="s">
        <v>41</v>
      </c>
      <c r="C12" s="2" t="s">
        <v>105</v>
      </c>
      <c r="D12" s="9">
        <v>6</v>
      </c>
      <c r="E12" s="9">
        <v>2</v>
      </c>
      <c r="F12" s="9">
        <v>5</v>
      </c>
      <c r="G12" s="9">
        <v>1</v>
      </c>
      <c r="H12" s="9" t="s">
        <v>21</v>
      </c>
      <c r="I12" s="9"/>
      <c r="J12" s="9"/>
      <c r="K12" s="9">
        <v>4</v>
      </c>
      <c r="L12" s="9" t="s">
        <v>21</v>
      </c>
      <c r="M12" s="9" t="str">
        <f t="shared" si="0"/>
        <v>EuD005-1s4s</v>
      </c>
      <c r="N12" s="9">
        <v>2</v>
      </c>
      <c r="O12" s="2" t="str">
        <f t="shared" si="1"/>
        <v>Uma vez por semana por um período de 4 semanas</v>
      </c>
    </row>
    <row r="13" spans="1:15" x14ac:dyDescent="0.25">
      <c r="A13" s="2" t="s">
        <v>16</v>
      </c>
      <c r="B13" s="2" t="s">
        <v>50</v>
      </c>
      <c r="C13" s="2" t="s">
        <v>119</v>
      </c>
      <c r="D13" s="9">
        <v>6</v>
      </c>
      <c r="E13" s="9">
        <v>3</v>
      </c>
      <c r="F13" s="9">
        <v>9</v>
      </c>
      <c r="G13" s="9">
        <v>1</v>
      </c>
      <c r="H13" s="9" t="s">
        <v>20</v>
      </c>
      <c r="I13" s="9">
        <v>3</v>
      </c>
      <c r="J13" s="9" t="s">
        <v>21</v>
      </c>
      <c r="K13" s="9">
        <v>3</v>
      </c>
      <c r="L13" s="9" t="s">
        <v>21</v>
      </c>
      <c r="M13" s="9" t="str">
        <f t="shared" si="0"/>
        <v>EuA009-1d3s</v>
      </c>
      <c r="N13" s="9">
        <v>3</v>
      </c>
      <c r="O13" s="2" t="str">
        <f t="shared" si="1"/>
        <v>Uma vez por dia, a cada 3 semanas, por um período de 3 semanas</v>
      </c>
    </row>
    <row r="14" spans="1:15" x14ac:dyDescent="0.25">
      <c r="A14" s="2" t="s">
        <v>16</v>
      </c>
      <c r="B14" s="2" t="s">
        <v>32</v>
      </c>
      <c r="C14" s="2" t="s">
        <v>231</v>
      </c>
      <c r="D14" s="9">
        <v>6</v>
      </c>
      <c r="E14" s="9">
        <v>1</v>
      </c>
      <c r="F14" s="9">
        <v>5</v>
      </c>
      <c r="G14" s="9">
        <v>1</v>
      </c>
      <c r="H14" s="9" t="s">
        <v>20</v>
      </c>
      <c r="I14" s="9"/>
      <c r="J14" s="9"/>
      <c r="K14" s="9">
        <v>3</v>
      </c>
      <c r="L14" s="9" t="s">
        <v>21</v>
      </c>
      <c r="M14" s="9" t="str">
        <f t="shared" si="0"/>
        <v>EuB005-1d3s</v>
      </c>
      <c r="N14" s="9">
        <v>1</v>
      </c>
      <c r="O14" s="2" t="str">
        <f t="shared" si="1"/>
        <v>Uma vez por dia por um período de 3 semanas</v>
      </c>
    </row>
    <row r="15" spans="1:15" x14ac:dyDescent="0.25">
      <c r="A15" s="2" t="s">
        <v>16</v>
      </c>
      <c r="B15" s="2" t="s">
        <v>50</v>
      </c>
      <c r="C15" s="2" t="s">
        <v>122</v>
      </c>
      <c r="D15" s="9">
        <v>6</v>
      </c>
      <c r="E15" s="9">
        <v>3</v>
      </c>
      <c r="F15" s="9">
        <v>12</v>
      </c>
      <c r="G15" s="9">
        <v>1</v>
      </c>
      <c r="H15" s="9" t="s">
        <v>20</v>
      </c>
      <c r="I15" s="9"/>
      <c r="J15" s="9"/>
      <c r="K15" s="9">
        <v>1</v>
      </c>
      <c r="L15" s="9" t="s">
        <v>20</v>
      </c>
      <c r="M15" s="9" t="str">
        <f t="shared" si="0"/>
        <v>EuA012-1d1d</v>
      </c>
      <c r="N15" s="9">
        <v>3</v>
      </c>
      <c r="O15" s="2" t="str">
        <f t="shared" si="1"/>
        <v>Pelo menos uma vez</v>
      </c>
    </row>
    <row r="16" spans="1:15" x14ac:dyDescent="0.25">
      <c r="A16" s="2" t="s">
        <v>16</v>
      </c>
      <c r="B16" s="2" t="s">
        <v>32</v>
      </c>
      <c r="C16" s="2" t="s">
        <v>99</v>
      </c>
      <c r="D16" s="9">
        <v>6</v>
      </c>
      <c r="E16" s="9">
        <v>1</v>
      </c>
      <c r="F16" s="9">
        <v>7</v>
      </c>
      <c r="G16" s="9">
        <v>3</v>
      </c>
      <c r="H16" s="9" t="s">
        <v>20</v>
      </c>
      <c r="I16" s="9"/>
      <c r="J16" s="9"/>
      <c r="K16" s="9">
        <v>3</v>
      </c>
      <c r="L16" s="9" t="s">
        <v>21</v>
      </c>
      <c r="M16" s="9" t="str">
        <f t="shared" si="0"/>
        <v>EuB007-3d3s</v>
      </c>
      <c r="N16" s="9">
        <v>1</v>
      </c>
      <c r="O16" s="2" t="str">
        <f t="shared" si="1"/>
        <v>3 vezes por dia por um período de 3 semanas</v>
      </c>
    </row>
    <row r="17" spans="1:15" x14ac:dyDescent="0.25">
      <c r="A17" s="2" t="s">
        <v>16</v>
      </c>
      <c r="B17" s="2" t="s">
        <v>50</v>
      </c>
      <c r="C17" s="2" t="s">
        <v>124</v>
      </c>
      <c r="D17" s="9">
        <v>6</v>
      </c>
      <c r="E17" s="9">
        <v>3</v>
      </c>
      <c r="F17" s="9">
        <v>14</v>
      </c>
      <c r="G17" s="9">
        <v>1</v>
      </c>
      <c r="H17" s="9" t="s">
        <v>20</v>
      </c>
      <c r="I17" s="9"/>
      <c r="J17" s="9"/>
      <c r="K17" s="9">
        <v>14</v>
      </c>
      <c r="L17" s="9" t="s">
        <v>20</v>
      </c>
      <c r="M17" s="9" t="str">
        <f t="shared" si="0"/>
        <v>EuA014-1d14d</v>
      </c>
      <c r="N17" s="9">
        <v>3</v>
      </c>
      <c r="O17" s="2" t="str">
        <f t="shared" si="1"/>
        <v>Uma vez por dia por um período de 14 dias</v>
      </c>
    </row>
    <row r="18" spans="1:15" x14ac:dyDescent="0.25">
      <c r="A18" s="2" t="s">
        <v>16</v>
      </c>
      <c r="B18" s="2" t="s">
        <v>234</v>
      </c>
      <c r="C18" s="2" t="s">
        <v>95</v>
      </c>
      <c r="D18" s="9">
        <v>6</v>
      </c>
      <c r="E18" s="9">
        <v>1</v>
      </c>
      <c r="F18" s="9">
        <v>3</v>
      </c>
      <c r="G18" s="9">
        <v>1</v>
      </c>
      <c r="H18" s="9" t="s">
        <v>20</v>
      </c>
      <c r="I18" s="9"/>
      <c r="J18" s="9"/>
      <c r="K18" s="9">
        <v>3</v>
      </c>
      <c r="L18" s="9" t="s">
        <v>21</v>
      </c>
      <c r="M18" s="9" t="str">
        <f t="shared" si="0"/>
        <v>EuB003-1d3s</v>
      </c>
      <c r="N18" s="9">
        <v>1</v>
      </c>
      <c r="O18" s="2" t="str">
        <f t="shared" si="1"/>
        <v>Uma vez por dia por um período de 3 semanas</v>
      </c>
    </row>
    <row r="19" spans="1:15" x14ac:dyDescent="0.25">
      <c r="A19" s="2" t="s">
        <v>16</v>
      </c>
      <c r="B19" s="2" t="s">
        <v>41</v>
      </c>
      <c r="C19" s="2" t="s">
        <v>101</v>
      </c>
      <c r="D19" s="9">
        <v>6</v>
      </c>
      <c r="E19" s="9">
        <v>2</v>
      </c>
      <c r="F19" s="9">
        <v>1</v>
      </c>
      <c r="G19" s="9">
        <v>1</v>
      </c>
      <c r="H19" s="9" t="s">
        <v>20</v>
      </c>
      <c r="I19" s="9"/>
      <c r="J19" s="9"/>
      <c r="K19" s="9">
        <v>3</v>
      </c>
      <c r="L19" s="9" t="s">
        <v>21</v>
      </c>
      <c r="M19" s="9" t="str">
        <f t="shared" si="0"/>
        <v>EuD001-1d3s</v>
      </c>
      <c r="N19" s="9">
        <v>2</v>
      </c>
      <c r="O19" s="2" t="str">
        <f t="shared" si="1"/>
        <v>Uma vez por dia por um período de 3 semanas</v>
      </c>
    </row>
    <row r="20" spans="1:15" x14ac:dyDescent="0.25">
      <c r="A20" s="2" t="s">
        <v>16</v>
      </c>
      <c r="B20" s="2" t="s">
        <v>50</v>
      </c>
      <c r="C20" s="2" t="s">
        <v>121</v>
      </c>
      <c r="D20" s="9">
        <v>6</v>
      </c>
      <c r="E20" s="9">
        <v>3</v>
      </c>
      <c r="F20" s="9">
        <v>11</v>
      </c>
      <c r="G20" s="9">
        <v>1</v>
      </c>
      <c r="H20" s="9" t="s">
        <v>20</v>
      </c>
      <c r="I20" s="9"/>
      <c r="J20" s="9"/>
      <c r="K20" s="9">
        <v>0</v>
      </c>
      <c r="L20" s="9" t="s">
        <v>20</v>
      </c>
      <c r="M20" s="9" t="str">
        <f t="shared" si="0"/>
        <v>EuA011-1d0d</v>
      </c>
      <c r="N20" s="9">
        <v>3</v>
      </c>
      <c r="O20" s="2" t="str">
        <f t="shared" si="1"/>
        <v>Uma vez por dia por um período de 0 dias</v>
      </c>
    </row>
    <row r="21" spans="1:15" x14ac:dyDescent="0.25">
      <c r="A21" s="2" t="s">
        <v>16</v>
      </c>
      <c r="B21" s="2" t="s">
        <v>50</v>
      </c>
      <c r="C21" s="2" t="s">
        <v>112</v>
      </c>
      <c r="D21" s="9">
        <v>6</v>
      </c>
      <c r="E21" s="9">
        <v>3</v>
      </c>
      <c r="F21" s="9">
        <v>2</v>
      </c>
      <c r="G21" s="9">
        <v>1</v>
      </c>
      <c r="H21" s="9" t="s">
        <v>20</v>
      </c>
      <c r="I21" s="9"/>
      <c r="J21" s="9"/>
      <c r="K21" s="9">
        <v>2</v>
      </c>
      <c r="L21" s="9" t="s">
        <v>21</v>
      </c>
      <c r="M21" s="9" t="str">
        <f t="shared" si="0"/>
        <v>EuA002-1d2s</v>
      </c>
      <c r="N21" s="9">
        <v>3</v>
      </c>
      <c r="O21" s="2" t="str">
        <f t="shared" si="1"/>
        <v>Uma vez por dia por um período de 2 semanas</v>
      </c>
    </row>
    <row r="22" spans="1:15" x14ac:dyDescent="0.25">
      <c r="A22" s="2" t="s">
        <v>16</v>
      </c>
      <c r="B22" s="2" t="s">
        <v>50</v>
      </c>
      <c r="C22" s="2" t="s">
        <v>118</v>
      </c>
      <c r="D22" s="9">
        <v>6</v>
      </c>
      <c r="E22" s="9">
        <v>3</v>
      </c>
      <c r="F22" s="9">
        <v>8</v>
      </c>
      <c r="G22" s="9">
        <v>1</v>
      </c>
      <c r="H22" s="9" t="s">
        <v>20</v>
      </c>
      <c r="I22" s="9">
        <v>3</v>
      </c>
      <c r="J22" s="9" t="s">
        <v>21</v>
      </c>
      <c r="K22" s="9">
        <v>3</v>
      </c>
      <c r="L22" s="9" t="s">
        <v>21</v>
      </c>
      <c r="M22" s="9" t="str">
        <f t="shared" si="0"/>
        <v>EuA008-1d3s</v>
      </c>
      <c r="N22" s="9">
        <v>3</v>
      </c>
      <c r="O22" s="2" t="str">
        <f t="shared" si="1"/>
        <v>Uma vez por dia, a cada 3 semanas, por um período de 3 semanas</v>
      </c>
    </row>
    <row r="23" spans="1:15" x14ac:dyDescent="0.25">
      <c r="A23" s="2" t="s">
        <v>16</v>
      </c>
      <c r="B23" s="2" t="s">
        <v>41</v>
      </c>
      <c r="C23" s="2" t="s">
        <v>109</v>
      </c>
      <c r="D23" s="9">
        <v>6</v>
      </c>
      <c r="E23" s="9">
        <v>2</v>
      </c>
      <c r="F23" s="9">
        <v>9</v>
      </c>
      <c r="G23" s="9">
        <v>1</v>
      </c>
      <c r="H23" s="9" t="s">
        <v>20</v>
      </c>
      <c r="I23" s="9">
        <v>3</v>
      </c>
      <c r="J23" s="9" t="s">
        <v>20</v>
      </c>
      <c r="K23" s="9">
        <v>4</v>
      </c>
      <c r="L23" s="9" t="s">
        <v>21</v>
      </c>
      <c r="M23" s="9" t="str">
        <f t="shared" si="0"/>
        <v>EuD009-1d4s</v>
      </c>
      <c r="N23" s="9">
        <v>2</v>
      </c>
      <c r="O23" s="2" t="str">
        <f t="shared" si="1"/>
        <v>Uma vez por dia, a cada 3 dias, por um período de 4 semanas</v>
      </c>
    </row>
    <row r="24" spans="1:15" x14ac:dyDescent="0.25">
      <c r="A24" s="2" t="s">
        <v>16</v>
      </c>
      <c r="B24" s="2" t="s">
        <v>50</v>
      </c>
      <c r="C24" s="2" t="s">
        <v>114</v>
      </c>
      <c r="D24" s="9">
        <v>6</v>
      </c>
      <c r="E24" s="9">
        <v>3</v>
      </c>
      <c r="F24" s="9">
        <v>4</v>
      </c>
      <c r="G24" s="9">
        <v>0</v>
      </c>
      <c r="H24" s="9" t="s">
        <v>20</v>
      </c>
      <c r="I24" s="9"/>
      <c r="J24" s="9"/>
      <c r="K24" s="9">
        <v>6</v>
      </c>
      <c r="L24" s="9" t="s">
        <v>21</v>
      </c>
      <c r="M24" s="9" t="str">
        <f t="shared" si="0"/>
        <v>EuA004-0d6s</v>
      </c>
      <c r="N24" s="9">
        <v>3</v>
      </c>
      <c r="O24" s="2" t="str">
        <f t="shared" si="1"/>
        <v>O dia inteiro por um período de 6 semanas</v>
      </c>
    </row>
    <row r="25" spans="1:15" x14ac:dyDescent="0.25">
      <c r="A25" s="2" t="s">
        <v>16</v>
      </c>
      <c r="B25" s="2" t="s">
        <v>41</v>
      </c>
      <c r="C25" s="2" t="s">
        <v>232</v>
      </c>
      <c r="D25" s="9">
        <v>6</v>
      </c>
      <c r="E25" s="9">
        <v>2</v>
      </c>
      <c r="F25" s="9">
        <v>10</v>
      </c>
      <c r="G25" s="9">
        <v>0</v>
      </c>
      <c r="H25" s="9" t="s">
        <v>20</v>
      </c>
      <c r="I25" s="9"/>
      <c r="J25" s="9"/>
      <c r="K25" s="9">
        <v>1</v>
      </c>
      <c r="L25" s="9" t="s">
        <v>21</v>
      </c>
      <c r="M25" s="9" t="str">
        <f t="shared" si="0"/>
        <v>EuD010-0d1s</v>
      </c>
      <c r="N25" s="9">
        <v>2</v>
      </c>
      <c r="O25" s="2" t="str">
        <f t="shared" si="1"/>
        <v>O dia inteiro por um período de 1 semana</v>
      </c>
    </row>
    <row r="26" spans="1:15" x14ac:dyDescent="0.25">
      <c r="A26" s="2" t="s">
        <v>16</v>
      </c>
      <c r="B26" s="2" t="s">
        <v>41</v>
      </c>
      <c r="C26" s="2" t="s">
        <v>110</v>
      </c>
      <c r="D26" s="9">
        <v>6</v>
      </c>
      <c r="E26" s="9">
        <v>2</v>
      </c>
      <c r="F26" s="9">
        <v>12</v>
      </c>
      <c r="G26" s="9">
        <v>1</v>
      </c>
      <c r="H26" s="9" t="s">
        <v>20</v>
      </c>
      <c r="I26" s="9"/>
      <c r="J26" s="9"/>
      <c r="K26" s="9">
        <v>1</v>
      </c>
      <c r="L26" s="9" t="s">
        <v>21</v>
      </c>
      <c r="M26" s="9" t="str">
        <f t="shared" si="0"/>
        <v>EuD012-1d1s</v>
      </c>
      <c r="N26" s="9">
        <v>2</v>
      </c>
      <c r="O26" s="2" t="str">
        <f t="shared" si="1"/>
        <v>Uma vez por dia por um período de 1 semana</v>
      </c>
    </row>
    <row r="27" spans="1:15" x14ac:dyDescent="0.25">
      <c r="A27" s="2" t="s">
        <v>16</v>
      </c>
      <c r="B27" s="2" t="s">
        <v>32</v>
      </c>
      <c r="C27" s="2" t="s">
        <v>100</v>
      </c>
      <c r="D27" s="9">
        <v>6</v>
      </c>
      <c r="E27" s="9">
        <v>1</v>
      </c>
      <c r="F27" s="9">
        <v>10</v>
      </c>
      <c r="G27" s="9">
        <v>1</v>
      </c>
      <c r="H27" s="9" t="s">
        <v>20</v>
      </c>
      <c r="I27" s="9"/>
      <c r="J27" s="9"/>
      <c r="K27" s="9">
        <v>3</v>
      </c>
      <c r="L27" s="9" t="s">
        <v>21</v>
      </c>
      <c r="M27" s="9" t="str">
        <f t="shared" si="0"/>
        <v>EuB010-1d3s</v>
      </c>
      <c r="N27" s="9">
        <v>1</v>
      </c>
      <c r="O27" s="2" t="str">
        <f t="shared" si="1"/>
        <v>Uma vez por dia por um período de 3 semanas</v>
      </c>
    </row>
    <row r="28" spans="1:15" x14ac:dyDescent="0.25">
      <c r="A28" s="2" t="s">
        <v>16</v>
      </c>
      <c r="B28" s="2" t="s">
        <v>41</v>
      </c>
      <c r="C28" s="2" t="s">
        <v>103</v>
      </c>
      <c r="D28" s="9">
        <v>6</v>
      </c>
      <c r="E28" s="9">
        <v>2</v>
      </c>
      <c r="F28" s="9">
        <v>3</v>
      </c>
      <c r="G28" s="9">
        <v>1</v>
      </c>
      <c r="H28" s="9" t="s">
        <v>20</v>
      </c>
      <c r="I28" s="9">
        <v>1</v>
      </c>
      <c r="J28" s="9" t="s">
        <v>21</v>
      </c>
      <c r="K28" s="9">
        <v>2</v>
      </c>
      <c r="L28" s="9" t="s">
        <v>21</v>
      </c>
      <c r="M28" s="9" t="str">
        <f t="shared" si="0"/>
        <v>EuD003-1d2s</v>
      </c>
      <c r="N28" s="9">
        <v>2</v>
      </c>
      <c r="O28" s="2" t="str">
        <f t="shared" si="1"/>
        <v>Uma vez por dia, a cada 1 semana, por um período de 2 semanas</v>
      </c>
    </row>
    <row r="29" spans="1:15" x14ac:dyDescent="0.25">
      <c r="A29" s="2" t="s">
        <v>16</v>
      </c>
      <c r="B29" s="2" t="s">
        <v>41</v>
      </c>
      <c r="C29" s="2" t="s">
        <v>102</v>
      </c>
      <c r="D29" s="9">
        <v>6</v>
      </c>
      <c r="E29" s="9">
        <v>2</v>
      </c>
      <c r="F29" s="9">
        <v>2</v>
      </c>
      <c r="G29" s="9">
        <v>1</v>
      </c>
      <c r="H29" s="9" t="s">
        <v>20</v>
      </c>
      <c r="I29" s="9"/>
      <c r="J29" s="9"/>
      <c r="K29" s="9">
        <v>3</v>
      </c>
      <c r="L29" s="9" t="s">
        <v>21</v>
      </c>
      <c r="M29" s="9" t="str">
        <f t="shared" si="0"/>
        <v>EuD002-1d3s</v>
      </c>
      <c r="N29" s="9">
        <v>2</v>
      </c>
      <c r="O29" s="2" t="str">
        <f t="shared" si="1"/>
        <v>Uma vez por dia por um período de 3 semanas</v>
      </c>
    </row>
    <row r="30" spans="1:15" x14ac:dyDescent="0.25">
      <c r="A30" s="2" t="s">
        <v>16</v>
      </c>
      <c r="B30" s="2" t="s">
        <v>50</v>
      </c>
      <c r="C30" s="2" t="s">
        <v>123</v>
      </c>
      <c r="D30" s="9">
        <v>6</v>
      </c>
      <c r="E30" s="9">
        <v>3</v>
      </c>
      <c r="F30" s="9">
        <v>13</v>
      </c>
      <c r="G30" s="9">
        <v>3</v>
      </c>
      <c r="H30" s="9" t="s">
        <v>20</v>
      </c>
      <c r="I30" s="9"/>
      <c r="J30" s="9"/>
      <c r="K30" s="9">
        <v>3</v>
      </c>
      <c r="L30" s="9" t="s">
        <v>21</v>
      </c>
      <c r="M30" s="9" t="str">
        <f t="shared" si="0"/>
        <v>EuA013-3d3s</v>
      </c>
      <c r="N30" s="9">
        <v>3</v>
      </c>
      <c r="O30" s="2" t="str">
        <f t="shared" si="1"/>
        <v>3 vezes por dia por um período de 3 semanas</v>
      </c>
    </row>
    <row r="31" spans="1:15" x14ac:dyDescent="0.25">
      <c r="A31" s="2" t="s">
        <v>16</v>
      </c>
      <c r="B31" s="2" t="s">
        <v>41</v>
      </c>
      <c r="C31" s="2" t="s">
        <v>106</v>
      </c>
      <c r="D31" s="9">
        <v>6</v>
      </c>
      <c r="E31" s="9">
        <v>2</v>
      </c>
      <c r="F31" s="9">
        <v>6</v>
      </c>
      <c r="G31" s="9">
        <v>1</v>
      </c>
      <c r="H31" s="9" t="s">
        <v>21</v>
      </c>
      <c r="I31" s="9">
        <v>2</v>
      </c>
      <c r="J31" s="9" t="s">
        <v>21</v>
      </c>
      <c r="K31" s="9">
        <v>4</v>
      </c>
      <c r="L31" s="9" t="s">
        <v>21</v>
      </c>
      <c r="M31" s="9" t="str">
        <f t="shared" si="0"/>
        <v>EuD006-1s4s</v>
      </c>
      <c r="N31" s="9">
        <v>2</v>
      </c>
      <c r="O31" s="2" t="str">
        <f t="shared" si="1"/>
        <v>Uma vez por semana, a cada 2 semanas, por um período de 4 semanas</v>
      </c>
    </row>
    <row r="32" spans="1:15" x14ac:dyDescent="0.25">
      <c r="A32" s="2" t="s">
        <v>16</v>
      </c>
      <c r="B32" s="2" t="s">
        <v>50</v>
      </c>
      <c r="C32" s="2" t="s">
        <v>115</v>
      </c>
      <c r="D32" s="9">
        <v>6</v>
      </c>
      <c r="E32" s="9">
        <v>3</v>
      </c>
      <c r="F32" s="9">
        <v>5</v>
      </c>
      <c r="G32" s="9">
        <v>1</v>
      </c>
      <c r="H32" s="9" t="s">
        <v>20</v>
      </c>
      <c r="I32" s="9"/>
      <c r="J32" s="9"/>
      <c r="K32" s="9">
        <v>21</v>
      </c>
      <c r="L32" s="9" t="s">
        <v>20</v>
      </c>
      <c r="M32" s="9" t="str">
        <f t="shared" si="0"/>
        <v>EuA005-1d21d</v>
      </c>
      <c r="N32" s="9">
        <v>3</v>
      </c>
      <c r="O32" s="2" t="str">
        <f t="shared" si="1"/>
        <v>Uma vez por dia por um período de 21 dias</v>
      </c>
    </row>
    <row r="33" spans="1:15" x14ac:dyDescent="0.25">
      <c r="A33" s="2" t="s">
        <v>16</v>
      </c>
      <c r="B33" s="2" t="s">
        <v>41</v>
      </c>
      <c r="C33" s="2" t="s">
        <v>104</v>
      </c>
      <c r="D33" s="9">
        <v>6</v>
      </c>
      <c r="E33" s="9">
        <v>2</v>
      </c>
      <c r="F33" s="9">
        <v>4</v>
      </c>
      <c r="G33" s="9">
        <v>1</v>
      </c>
      <c r="H33" s="9" t="s">
        <v>20</v>
      </c>
      <c r="I33" s="9">
        <v>3</v>
      </c>
      <c r="J33" s="9" t="s">
        <v>21</v>
      </c>
      <c r="K33" s="9">
        <v>3</v>
      </c>
      <c r="L33" s="9" t="s">
        <v>21</v>
      </c>
      <c r="M33" s="9" t="str">
        <f t="shared" si="0"/>
        <v>EuD004-1d3s</v>
      </c>
      <c r="N33" s="9">
        <v>2</v>
      </c>
      <c r="O33" s="2" t="str">
        <f t="shared" si="1"/>
        <v>Uma vez por dia, a cada 3 semanas, por um período de 3 semanas</v>
      </c>
    </row>
    <row r="34" spans="1:15" x14ac:dyDescent="0.25">
      <c r="A34" s="2" t="s">
        <v>16</v>
      </c>
      <c r="B34" s="2" t="s">
        <v>50</v>
      </c>
      <c r="C34" s="2" t="s">
        <v>117</v>
      </c>
      <c r="D34" s="9">
        <v>6</v>
      </c>
      <c r="E34" s="9">
        <v>3</v>
      </c>
      <c r="F34" s="9">
        <v>7</v>
      </c>
      <c r="G34" s="9">
        <v>1</v>
      </c>
      <c r="H34" s="9" t="s">
        <v>20</v>
      </c>
      <c r="I34" s="9"/>
      <c r="J34" s="9"/>
      <c r="K34" s="9">
        <v>0</v>
      </c>
      <c r="L34" s="9" t="s">
        <v>20</v>
      </c>
      <c r="M34" s="9" t="str">
        <f t="shared" si="0"/>
        <v>EuA007-1d0d</v>
      </c>
      <c r="N34" s="9">
        <v>3</v>
      </c>
      <c r="O34" s="2" t="str">
        <f t="shared" si="1"/>
        <v>Uma vez por dia por um período de 0 dias</v>
      </c>
    </row>
    <row r="35" spans="1:15" x14ac:dyDescent="0.25">
      <c r="A35" s="2" t="s">
        <v>16</v>
      </c>
      <c r="B35" s="2" t="s">
        <v>41</v>
      </c>
      <c r="C35" s="2" t="s">
        <v>235</v>
      </c>
      <c r="D35" s="9">
        <v>6</v>
      </c>
      <c r="E35" s="9">
        <v>2</v>
      </c>
      <c r="F35" s="9">
        <v>11</v>
      </c>
      <c r="G35" s="9">
        <v>0</v>
      </c>
      <c r="H35" s="9" t="s">
        <v>20</v>
      </c>
      <c r="I35" s="9"/>
      <c r="J35" s="9"/>
      <c r="K35" s="9">
        <v>3</v>
      </c>
      <c r="L35" s="9" t="s">
        <v>20</v>
      </c>
      <c r="M35" s="9" t="str">
        <f t="shared" si="0"/>
        <v>EuD011-0d3d</v>
      </c>
      <c r="N35" s="9">
        <v>2</v>
      </c>
      <c r="O35" s="2" t="str">
        <f t="shared" si="1"/>
        <v>O dia inteiro por um período de 3 dias</v>
      </c>
    </row>
    <row r="36" spans="1:15" x14ac:dyDescent="0.25">
      <c r="A36" s="2" t="s">
        <v>16</v>
      </c>
      <c r="B36" s="2" t="s">
        <v>32</v>
      </c>
      <c r="C36" s="2" t="s">
        <v>230</v>
      </c>
      <c r="D36" s="9">
        <v>6</v>
      </c>
      <c r="E36" s="9">
        <v>1</v>
      </c>
      <c r="F36" s="9">
        <v>8</v>
      </c>
      <c r="G36" s="9">
        <v>0</v>
      </c>
      <c r="H36" s="9" t="s">
        <v>20</v>
      </c>
      <c r="I36" s="9"/>
      <c r="J36" s="9"/>
      <c r="K36" s="9">
        <v>3</v>
      </c>
      <c r="L36" s="9" t="s">
        <v>21</v>
      </c>
      <c r="M36" s="9" t="str">
        <f t="shared" si="0"/>
        <v>EuB008-0d3s</v>
      </c>
      <c r="N36" s="9">
        <v>1</v>
      </c>
      <c r="O36" s="2" t="str">
        <f t="shared" si="1"/>
        <v>O dia inteiro por um período de 3 semanas</v>
      </c>
    </row>
    <row r="37" spans="1:15" x14ac:dyDescent="0.25">
      <c r="A37" s="2" t="s">
        <v>16</v>
      </c>
      <c r="B37" s="2" t="s">
        <v>32</v>
      </c>
      <c r="C37" s="2" t="s">
        <v>96</v>
      </c>
      <c r="D37" s="9">
        <v>6</v>
      </c>
      <c r="E37" s="9">
        <v>1</v>
      </c>
      <c r="F37" s="9">
        <v>4</v>
      </c>
      <c r="G37" s="9">
        <v>1</v>
      </c>
      <c r="H37" s="9" t="s">
        <v>20</v>
      </c>
      <c r="I37" s="9"/>
      <c r="J37" s="9"/>
      <c r="K37" s="9">
        <v>1</v>
      </c>
      <c r="L37" s="9" t="s">
        <v>21</v>
      </c>
      <c r="M37" s="9" t="str">
        <f t="shared" si="0"/>
        <v>EuB004-1d1s</v>
      </c>
      <c r="N37" s="9">
        <v>1</v>
      </c>
      <c r="O37" s="2" t="str">
        <f t="shared" si="1"/>
        <v>Uma vez por dia por um período de 1 semana</v>
      </c>
    </row>
    <row r="38" spans="1:15" x14ac:dyDescent="0.25">
      <c r="A38" s="2" t="s">
        <v>16</v>
      </c>
      <c r="B38" s="2" t="s">
        <v>32</v>
      </c>
      <c r="C38" s="2" t="s">
        <v>94</v>
      </c>
      <c r="D38" s="9">
        <v>6</v>
      </c>
      <c r="E38" s="9">
        <v>1</v>
      </c>
      <c r="F38" s="9">
        <v>2</v>
      </c>
      <c r="G38" s="9">
        <v>1</v>
      </c>
      <c r="H38" s="9" t="s">
        <v>20</v>
      </c>
      <c r="I38" s="9"/>
      <c r="J38" s="9"/>
      <c r="K38" s="9">
        <v>3</v>
      </c>
      <c r="L38" s="9" t="s">
        <v>21</v>
      </c>
      <c r="M38" s="9" t="str">
        <f t="shared" si="0"/>
        <v>EuB002-1d3s</v>
      </c>
      <c r="N38" s="9">
        <v>1</v>
      </c>
      <c r="O38" s="2" t="str">
        <f t="shared" si="1"/>
        <v>Uma vez por dia por um período de 3 semanas</v>
      </c>
    </row>
    <row r="39" spans="1:15" x14ac:dyDescent="0.25">
      <c r="A39" s="2" t="s">
        <v>16</v>
      </c>
      <c r="B39" s="2" t="s">
        <v>50</v>
      </c>
      <c r="C39" s="2" t="s">
        <v>113</v>
      </c>
      <c r="D39" s="9">
        <v>6</v>
      </c>
      <c r="E39" s="9">
        <v>3</v>
      </c>
      <c r="F39" s="9">
        <v>3</v>
      </c>
      <c r="G39" s="9">
        <v>1</v>
      </c>
      <c r="H39" s="9" t="s">
        <v>20</v>
      </c>
      <c r="I39" s="9"/>
      <c r="J39" s="9"/>
      <c r="K39" s="9">
        <v>21</v>
      </c>
      <c r="L39" s="9" t="s">
        <v>20</v>
      </c>
      <c r="M39" s="9" t="str">
        <f t="shared" si="0"/>
        <v>EuA003-1d21d</v>
      </c>
      <c r="N39" s="9">
        <v>3</v>
      </c>
      <c r="O39" s="2" t="str">
        <f>IF(G39=0,"O dia inteiro",IF(G39=1,"Uma vez",TEXT(G39,"0")&amp;" vezes")&amp;" por "&amp;IF(LOWER(H39)="d","dia","semana"))&amp;IF(AND(ISNUMBER(I39),I39&gt;0),", a cada "&amp;TEXT(I38,"0")&amp;" "&amp;IF(I38=1,IF(LOWER(J38)="d","dia","semana"),IF(LOWER(J38)="d","dias","semanas"))&amp;",","")&amp;" por um período de "&amp;TEXT(K38,"0")&amp;" "&amp;IF(K38=1,IF(LOWER(L38)="d","dia","semana"),IF(LOWER(L38)="d","dias","semanas"))</f>
        <v>Uma vez por dia por um período de 3 semanas</v>
      </c>
    </row>
    <row r="41" spans="1:15" x14ac:dyDescent="0.25">
      <c r="A41" s="4"/>
      <c r="B41" s="4"/>
    </row>
  </sheetData>
  <sortState xmlns:xlrd2="http://schemas.microsoft.com/office/spreadsheetml/2017/richdata2" ref="A2:K39">
    <sortCondition ref="C2:C39"/>
  </sortState>
  <dataValidations disablePrompts="1" count="1">
    <dataValidation type="whole" operator="greaterThanOrEqual" allowBlank="1" showInputMessage="1" showErrorMessage="1" errorTitle="Número inválido" error="Informe um número inteiro maior ou igual a 0" sqref="D2:D1038 F2:F1038 H2:H1038" xr:uid="{00000000-0002-0000-0400-000003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Unidade inválida" error="Use apenas: d (dia) ou s (semana)" xr:uid="{00000000-0002-0000-0400-000000000000}">
          <x14:formula1>
            <xm:f>_DV!$A$1:$A$2</xm:f>
          </x14:formula1>
          <xm:sqref>E2:E1038 I2:I1038 G2:G1038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0"/>
  <sheetViews>
    <sheetView tabSelected="1" topLeftCell="C1" zoomScaleNormal="100" workbookViewId="0">
      <pane ySplit="1" topLeftCell="A26" activePane="bottomLeft" state="frozen"/>
      <selection pane="bottomLeft" activeCell="C16" sqref="C16"/>
    </sheetView>
  </sheetViews>
  <sheetFormatPr defaultRowHeight="15" x14ac:dyDescent="0.25"/>
  <cols>
    <col min="1" max="1" width="7.5703125" bestFit="1" customWidth="1"/>
    <col min="2" max="2" width="11.85546875" customWidth="1"/>
    <col min="3" max="3" width="61.42578125" bestFit="1" customWidth="1"/>
    <col min="4" max="12" width="5" style="10" customWidth="1"/>
    <col min="13" max="13" width="14.42578125" bestFit="1" customWidth="1"/>
    <col min="14" max="14" width="3.7109375" style="10" bestFit="1" customWidth="1"/>
    <col min="15" max="15" width="39.28515625" bestFit="1" customWidth="1"/>
  </cols>
  <sheetData>
    <row r="1" spans="1:19" s="17" customFormat="1" ht="86.25" customHeight="1" x14ac:dyDescent="0.25">
      <c r="A1" s="14" t="s">
        <v>22</v>
      </c>
      <c r="B1" s="14" t="s">
        <v>301</v>
      </c>
      <c r="C1" s="15" t="s">
        <v>23</v>
      </c>
      <c r="D1" s="15" t="s">
        <v>24</v>
      </c>
      <c r="E1" s="15" t="s">
        <v>302</v>
      </c>
      <c r="F1" s="15" t="s">
        <v>25</v>
      </c>
      <c r="G1" s="15" t="s">
        <v>26</v>
      </c>
      <c r="H1" s="15" t="s">
        <v>27</v>
      </c>
      <c r="I1" s="15" t="s">
        <v>305</v>
      </c>
      <c r="J1" s="15" t="s">
        <v>306</v>
      </c>
      <c r="K1" s="15" t="s">
        <v>28</v>
      </c>
      <c r="L1" s="15" t="s">
        <v>29</v>
      </c>
      <c r="M1" s="13" t="s">
        <v>30</v>
      </c>
      <c r="N1" s="13" t="s">
        <v>31</v>
      </c>
      <c r="O1" s="13" t="s">
        <v>307</v>
      </c>
      <c r="P1" s="16"/>
      <c r="Q1" s="16"/>
      <c r="R1" s="16"/>
      <c r="S1" s="16"/>
    </row>
    <row r="2" spans="1:19" x14ac:dyDescent="0.25">
      <c r="A2" s="2" t="s">
        <v>17</v>
      </c>
      <c r="B2" s="2" t="s">
        <v>32</v>
      </c>
      <c r="C2" s="2" t="s">
        <v>126</v>
      </c>
      <c r="D2" s="8">
        <v>4</v>
      </c>
      <c r="E2" s="8">
        <v>1</v>
      </c>
      <c r="F2" s="8">
        <v>1</v>
      </c>
      <c r="G2" s="9">
        <v>1</v>
      </c>
      <c r="H2" s="9" t="s">
        <v>20</v>
      </c>
      <c r="I2" s="9">
        <v>3</v>
      </c>
      <c r="J2" s="9" t="s">
        <v>20</v>
      </c>
      <c r="K2" s="9">
        <v>7</v>
      </c>
      <c r="L2" s="9" t="s">
        <v>20</v>
      </c>
      <c r="M2" s="9" t="str">
        <f>LEFT(A2,2)&amp;LEFT(B2,1)&amp;TEXT(F2,"000")&amp;"-"&amp;IF(
  AND(G2="",H2="",K2="",L2=""),
  "0d0d",
  TEXT(G2,"0")&amp;LOWER(H2)&amp;TEXT(K2,"0")&amp;LOWER(L2)
)</f>
        <v>AmB001-1d7d</v>
      </c>
      <c r="N2" s="9">
        <f>IF(B2="Básico",1,IF(B2="Desafio",2,IF(B2="Avançado",3)))</f>
        <v>1</v>
      </c>
      <c r="O2" s="2" t="str">
        <f>IF(
  AND(G2="",H2="",I2="",J2="",K2="",L2=""),
  "Fique atento para a primeira oportunidade que surgir",
  IF(AND(G2=0,LOWER(H2)="d",K2=0,LOWER(L2)="d"),
     "Fique atento para a primeira oportunidade que surgir",
     IF(AND(G2=1,LOWER(H2)="d",K2=1,LOWER(L2)="d"),
        "Pelo menos uma vez",
        IF(G2=0,"O dia inteiro",IF(G2=1,"Uma vez",TEXT(G2,"0")&amp;" vezes")&amp;" por "&amp;IF(LOWER(H2)="d","dia","semana"))
        &amp;IF(AND(ISNUMBER(I2),I2&gt;0),", a cada "&amp;TEXT(I2,"0")&amp;" "&amp;IF(I2=1,IF(LOWER(J2)="d","dia","semana"),IF(LOWER(J2)="d","dias","semanas"))&amp;",","")
        &amp;" por um período de "&amp;TEXT(K2,"0")&amp;" "&amp;IF(K2=1,IF(LOWER(L2)="d","dia","semana"),IF(LOWER(L2)="d","dias","semanas"))
     )
  )
)</f>
        <v>Uma vez por dia, a cada 3 dias, por um período de 7 dias</v>
      </c>
    </row>
    <row r="3" spans="1:19" x14ac:dyDescent="0.25">
      <c r="A3" s="2" t="s">
        <v>17</v>
      </c>
      <c r="B3" s="2" t="s">
        <v>32</v>
      </c>
      <c r="C3" s="2" t="s">
        <v>127</v>
      </c>
      <c r="D3" s="8">
        <v>4</v>
      </c>
      <c r="E3" s="8">
        <v>1</v>
      </c>
      <c r="F3" s="8">
        <v>2</v>
      </c>
      <c r="G3" s="9"/>
      <c r="H3" s="9"/>
      <c r="I3" s="9"/>
      <c r="J3" s="9"/>
      <c r="K3" s="9"/>
      <c r="L3" s="9"/>
      <c r="M3" s="9" t="str">
        <f t="shared" ref="M3:M38" si="0">LEFT(A3,2)&amp;LEFT(B3,1)&amp;TEXT(F3,"000")&amp;"-"&amp;IF(
  AND(G3="",H3="",K3="",L3=""),
  "0d0d",
  TEXT(G3,"0")&amp;LOWER(H3)&amp;TEXT(K3,"0")&amp;LOWER(L3)
)</f>
        <v>AmB002-0d0d</v>
      </c>
      <c r="N3" s="9">
        <f t="shared" ref="N3:N38" si="1">IF(B3="Básico",1,IF(B3="Desafio",2,IF(B3="Avançado",3)))</f>
        <v>1</v>
      </c>
      <c r="O3" s="2" t="str">
        <f t="shared" ref="O3:O38" si="2">IF(
  AND(G3="",H3="",I3="",J3="",K3="",L3=""),
  "Fique atento para a primeira oportunidade que surgir",
  IF(AND(G3=0,LOWER(H3)="d",K3=0,LOWER(L3)="d"),
     "Fique atento para a primeira oportunidade que surgir",
     IF(AND(G3=1,LOWER(H3)="d",K3=1,LOWER(L3)="d"),
        "Pelo menos uma vez",
        IF(G3=0,"O dia inteiro",IF(G3=1,"Uma vez",TEXT(G3,"0")&amp;" vezes")&amp;" por "&amp;IF(LOWER(H3)="d","dia","semana"))
        &amp;IF(AND(ISNUMBER(I3),I3&gt;0),", a cada "&amp;TEXT(I3,"0")&amp;" "&amp;IF(I3=1,IF(LOWER(J3)="d","dia","semana"),IF(LOWER(J3)="d","dias","semanas"))&amp;",","")
        &amp;" por um período de "&amp;TEXT(K3,"0")&amp;" "&amp;IF(K3=1,IF(LOWER(L3)="d","dia","semana"),IF(LOWER(L3)="d","dias","semanas"))
     )
  )
)</f>
        <v>Fique atento para a primeira oportunidade que surgir</v>
      </c>
    </row>
    <row r="4" spans="1:19" x14ac:dyDescent="0.25">
      <c r="A4" s="2" t="s">
        <v>17</v>
      </c>
      <c r="B4" s="2" t="s">
        <v>32</v>
      </c>
      <c r="C4" s="2" t="s">
        <v>287</v>
      </c>
      <c r="D4" s="8">
        <v>4</v>
      </c>
      <c r="E4" s="8">
        <v>1</v>
      </c>
      <c r="F4" s="8">
        <v>3</v>
      </c>
      <c r="G4" s="9"/>
      <c r="H4" s="9"/>
      <c r="I4" s="9"/>
      <c r="J4" s="9"/>
      <c r="K4" s="9"/>
      <c r="L4" s="9"/>
      <c r="M4" s="9" t="str">
        <f t="shared" si="0"/>
        <v>AmB003-0d0d</v>
      </c>
      <c r="N4" s="9">
        <f t="shared" si="1"/>
        <v>1</v>
      </c>
      <c r="O4" s="2" t="str">
        <f t="shared" si="2"/>
        <v>Fique atento para a primeira oportunidade que surgir</v>
      </c>
    </row>
    <row r="5" spans="1:19" x14ac:dyDescent="0.25">
      <c r="A5" s="2" t="s">
        <v>17</v>
      </c>
      <c r="B5" s="2" t="s">
        <v>32</v>
      </c>
      <c r="C5" s="2" t="s">
        <v>128</v>
      </c>
      <c r="D5" s="8">
        <v>4</v>
      </c>
      <c r="E5" s="8">
        <v>1</v>
      </c>
      <c r="F5" s="8">
        <v>4</v>
      </c>
      <c r="G5" s="9"/>
      <c r="H5" s="9"/>
      <c r="I5" s="9"/>
      <c r="J5" s="9"/>
      <c r="K5" s="9"/>
      <c r="L5" s="9"/>
      <c r="M5" s="9" t="str">
        <f t="shared" si="0"/>
        <v>AmB004-0d0d</v>
      </c>
      <c r="N5" s="9">
        <f t="shared" si="1"/>
        <v>1</v>
      </c>
      <c r="O5" s="2" t="str">
        <f t="shared" si="2"/>
        <v>Fique atento para a primeira oportunidade que surgir</v>
      </c>
    </row>
    <row r="6" spans="1:19" x14ac:dyDescent="0.25">
      <c r="A6" s="2" t="s">
        <v>17</v>
      </c>
      <c r="B6" s="2" t="s">
        <v>32</v>
      </c>
      <c r="C6" s="2" t="s">
        <v>129</v>
      </c>
      <c r="D6" s="8">
        <v>4</v>
      </c>
      <c r="E6" s="8">
        <v>1</v>
      </c>
      <c r="F6" s="8">
        <v>5</v>
      </c>
      <c r="G6" s="9"/>
      <c r="H6" s="9"/>
      <c r="I6" s="9"/>
      <c r="J6" s="9"/>
      <c r="K6" s="9"/>
      <c r="L6" s="9"/>
      <c r="M6" s="9" t="str">
        <f t="shared" si="0"/>
        <v>AmB005-0d0d</v>
      </c>
      <c r="N6" s="9">
        <f t="shared" si="1"/>
        <v>1</v>
      </c>
      <c r="O6" s="2" t="str">
        <f t="shared" si="2"/>
        <v>Fique atento para a primeira oportunidade que surgir</v>
      </c>
    </row>
    <row r="7" spans="1:19" x14ac:dyDescent="0.25">
      <c r="A7" s="2" t="s">
        <v>17</v>
      </c>
      <c r="B7" s="2" t="s">
        <v>32</v>
      </c>
      <c r="C7" s="2" t="s">
        <v>130</v>
      </c>
      <c r="D7" s="8">
        <v>4</v>
      </c>
      <c r="E7" s="8">
        <v>1</v>
      </c>
      <c r="F7" s="8">
        <v>6</v>
      </c>
      <c r="G7" s="9"/>
      <c r="H7" s="9"/>
      <c r="I7" s="9"/>
      <c r="J7" s="9"/>
      <c r="K7" s="9"/>
      <c r="L7" s="9"/>
      <c r="M7" s="9" t="str">
        <f t="shared" si="0"/>
        <v>AmB006-0d0d</v>
      </c>
      <c r="N7" s="9">
        <f t="shared" si="1"/>
        <v>1</v>
      </c>
      <c r="O7" s="2" t="str">
        <f t="shared" si="2"/>
        <v>Fique atento para a primeira oportunidade que surgir</v>
      </c>
    </row>
    <row r="8" spans="1:19" x14ac:dyDescent="0.25">
      <c r="A8" s="2" t="s">
        <v>17</v>
      </c>
      <c r="B8" s="2" t="s">
        <v>32</v>
      </c>
      <c r="C8" s="2" t="s">
        <v>131</v>
      </c>
      <c r="D8" s="8">
        <v>4</v>
      </c>
      <c r="E8" s="8">
        <v>1</v>
      </c>
      <c r="F8" s="8">
        <v>7</v>
      </c>
      <c r="G8" s="9"/>
      <c r="H8" s="9"/>
      <c r="I8" s="9"/>
      <c r="J8" s="9"/>
      <c r="K8" s="9"/>
      <c r="L8" s="9"/>
      <c r="M8" s="9" t="str">
        <f t="shared" si="0"/>
        <v>AmB007-0d0d</v>
      </c>
      <c r="N8" s="9">
        <f t="shared" si="1"/>
        <v>1</v>
      </c>
      <c r="O8" s="2" t="str">
        <f t="shared" si="2"/>
        <v>Fique atento para a primeira oportunidade que surgir</v>
      </c>
    </row>
    <row r="9" spans="1:19" x14ac:dyDescent="0.25">
      <c r="A9" s="2" t="s">
        <v>17</v>
      </c>
      <c r="B9" s="2" t="s">
        <v>32</v>
      </c>
      <c r="C9" s="2" t="s">
        <v>132</v>
      </c>
      <c r="D9" s="8">
        <v>4</v>
      </c>
      <c r="E9" s="8">
        <v>1</v>
      </c>
      <c r="F9" s="8">
        <v>8</v>
      </c>
      <c r="G9" s="9"/>
      <c r="H9" s="9"/>
      <c r="I9" s="9"/>
      <c r="J9" s="9"/>
      <c r="K9" s="9"/>
      <c r="L9" s="9"/>
      <c r="M9" s="9" t="str">
        <f t="shared" si="0"/>
        <v>AmB008-0d0d</v>
      </c>
      <c r="N9" s="9">
        <f t="shared" si="1"/>
        <v>1</v>
      </c>
      <c r="O9" s="2" t="str">
        <f t="shared" si="2"/>
        <v>Fique atento para a primeira oportunidade que surgir</v>
      </c>
    </row>
    <row r="10" spans="1:19" x14ac:dyDescent="0.25">
      <c r="A10" s="2" t="s">
        <v>17</v>
      </c>
      <c r="B10" s="2" t="s">
        <v>32</v>
      </c>
      <c r="C10" s="2" t="s">
        <v>133</v>
      </c>
      <c r="D10" s="8">
        <v>4</v>
      </c>
      <c r="E10" s="8">
        <v>1</v>
      </c>
      <c r="F10" s="8">
        <v>9</v>
      </c>
      <c r="G10" s="9"/>
      <c r="H10" s="9"/>
      <c r="I10" s="9"/>
      <c r="J10" s="9"/>
      <c r="K10" s="9"/>
      <c r="L10" s="9"/>
      <c r="M10" s="9" t="str">
        <f t="shared" si="0"/>
        <v>AmB009-0d0d</v>
      </c>
      <c r="N10" s="9">
        <f t="shared" si="1"/>
        <v>1</v>
      </c>
      <c r="O10" s="2" t="str">
        <f t="shared" si="2"/>
        <v>Fique atento para a primeira oportunidade que surgir</v>
      </c>
    </row>
    <row r="11" spans="1:19" x14ac:dyDescent="0.25">
      <c r="A11" s="2" t="s">
        <v>17</v>
      </c>
      <c r="B11" s="2" t="s">
        <v>32</v>
      </c>
      <c r="C11" s="2" t="s">
        <v>134</v>
      </c>
      <c r="D11" s="8">
        <v>4</v>
      </c>
      <c r="E11" s="8">
        <v>1</v>
      </c>
      <c r="F11" s="8">
        <v>10</v>
      </c>
      <c r="G11" s="9"/>
      <c r="H11" s="9"/>
      <c r="I11" s="9"/>
      <c r="J11" s="9"/>
      <c r="K11" s="9"/>
      <c r="L11" s="9"/>
      <c r="M11" s="9" t="str">
        <f t="shared" si="0"/>
        <v>AmB010-0d0d</v>
      </c>
      <c r="N11" s="9">
        <f t="shared" si="1"/>
        <v>1</v>
      </c>
      <c r="O11" s="2" t="str">
        <f t="shared" si="2"/>
        <v>Fique atento para a primeira oportunidade que surgir</v>
      </c>
    </row>
    <row r="12" spans="1:19" x14ac:dyDescent="0.25">
      <c r="A12" s="2" t="s">
        <v>17</v>
      </c>
      <c r="B12" s="2" t="s">
        <v>41</v>
      </c>
      <c r="C12" s="2" t="s">
        <v>135</v>
      </c>
      <c r="D12" s="8">
        <v>4</v>
      </c>
      <c r="E12" s="8">
        <v>2</v>
      </c>
      <c r="F12" s="8">
        <v>1</v>
      </c>
      <c r="G12" s="9"/>
      <c r="H12" s="9"/>
      <c r="I12" s="9"/>
      <c r="J12" s="9"/>
      <c r="K12" s="9"/>
      <c r="L12" s="9"/>
      <c r="M12" s="9" t="str">
        <f t="shared" si="0"/>
        <v>AmD001-0d0d</v>
      </c>
      <c r="N12" s="9">
        <f t="shared" si="1"/>
        <v>2</v>
      </c>
      <c r="O12" s="2" t="str">
        <f t="shared" si="2"/>
        <v>Fique atento para a primeira oportunidade que surgir</v>
      </c>
    </row>
    <row r="13" spans="1:19" x14ac:dyDescent="0.25">
      <c r="A13" s="2" t="s">
        <v>17</v>
      </c>
      <c r="B13" s="2" t="s">
        <v>41</v>
      </c>
      <c r="C13" s="2" t="s">
        <v>288</v>
      </c>
      <c r="D13" s="8">
        <v>4</v>
      </c>
      <c r="E13" s="8">
        <v>2</v>
      </c>
      <c r="F13" s="8">
        <v>2</v>
      </c>
      <c r="G13" s="9">
        <v>0</v>
      </c>
      <c r="H13" s="9" t="s">
        <v>20</v>
      </c>
      <c r="I13" s="9"/>
      <c r="J13" s="9"/>
      <c r="K13" s="9">
        <v>7</v>
      </c>
      <c r="L13" s="9" t="s">
        <v>20</v>
      </c>
      <c r="M13" s="9" t="str">
        <f t="shared" si="0"/>
        <v>AmD002-0d7d</v>
      </c>
      <c r="N13" s="9">
        <f t="shared" si="1"/>
        <v>2</v>
      </c>
      <c r="O13" s="2" t="str">
        <f t="shared" si="2"/>
        <v>O dia inteiro por um período de 7 dias</v>
      </c>
    </row>
    <row r="14" spans="1:19" x14ac:dyDescent="0.25">
      <c r="A14" s="2" t="s">
        <v>17</v>
      </c>
      <c r="B14" s="2" t="s">
        <v>41</v>
      </c>
      <c r="C14" s="2" t="s">
        <v>136</v>
      </c>
      <c r="D14" s="8">
        <v>4</v>
      </c>
      <c r="E14" s="8">
        <v>2</v>
      </c>
      <c r="F14" s="8">
        <v>3</v>
      </c>
      <c r="G14" s="9"/>
      <c r="H14" s="9"/>
      <c r="I14" s="9"/>
      <c r="J14" s="9"/>
      <c r="K14" s="9"/>
      <c r="L14" s="9"/>
      <c r="M14" s="9" t="str">
        <f t="shared" si="0"/>
        <v>AmD003-0d0d</v>
      </c>
      <c r="N14" s="9">
        <f t="shared" si="1"/>
        <v>2</v>
      </c>
      <c r="O14" s="2" t="str">
        <f t="shared" si="2"/>
        <v>Fique atento para a primeira oportunidade que surgir</v>
      </c>
    </row>
    <row r="15" spans="1:19" x14ac:dyDescent="0.25">
      <c r="A15" s="2" t="s">
        <v>17</v>
      </c>
      <c r="B15" s="2" t="s">
        <v>41</v>
      </c>
      <c r="C15" s="2" t="s">
        <v>137</v>
      </c>
      <c r="D15" s="8">
        <v>4</v>
      </c>
      <c r="E15" s="8">
        <v>2</v>
      </c>
      <c r="F15" s="8">
        <v>4</v>
      </c>
      <c r="G15" s="9"/>
      <c r="H15" s="9"/>
      <c r="I15" s="9"/>
      <c r="J15" s="9"/>
      <c r="K15" s="9"/>
      <c r="L15" s="9"/>
      <c r="M15" s="9" t="str">
        <f t="shared" si="0"/>
        <v>AmD004-0d0d</v>
      </c>
      <c r="N15" s="9">
        <f t="shared" si="1"/>
        <v>2</v>
      </c>
      <c r="O15" s="2" t="str">
        <f t="shared" si="2"/>
        <v>Fique atento para a primeira oportunidade que surgir</v>
      </c>
    </row>
    <row r="16" spans="1:19" x14ac:dyDescent="0.25">
      <c r="A16" s="2" t="s">
        <v>17</v>
      </c>
      <c r="B16" s="2" t="s">
        <v>41</v>
      </c>
      <c r="C16" s="2" t="s">
        <v>289</v>
      </c>
      <c r="D16" s="8">
        <v>4</v>
      </c>
      <c r="E16" s="8">
        <v>2</v>
      </c>
      <c r="F16" s="8">
        <v>5</v>
      </c>
      <c r="G16" s="9">
        <v>0</v>
      </c>
      <c r="H16" s="9" t="s">
        <v>20</v>
      </c>
      <c r="I16" s="9"/>
      <c r="J16" s="9"/>
      <c r="K16" s="9">
        <v>1</v>
      </c>
      <c r="L16" s="9" t="s">
        <v>20</v>
      </c>
      <c r="M16" s="9" t="str">
        <f t="shared" si="0"/>
        <v>AmD005-0d1d</v>
      </c>
      <c r="N16" s="9">
        <f t="shared" si="1"/>
        <v>2</v>
      </c>
      <c r="O16" s="2" t="str">
        <f t="shared" si="2"/>
        <v>O dia inteiro por um período de 1 dia</v>
      </c>
    </row>
    <row r="17" spans="1:15" x14ac:dyDescent="0.25">
      <c r="A17" s="2" t="s">
        <v>17</v>
      </c>
      <c r="B17" s="2" t="s">
        <v>41</v>
      </c>
      <c r="C17" s="2" t="s">
        <v>138</v>
      </c>
      <c r="D17" s="8">
        <v>4</v>
      </c>
      <c r="E17" s="8">
        <v>2</v>
      </c>
      <c r="F17" s="8">
        <v>6</v>
      </c>
      <c r="G17" s="9">
        <v>1</v>
      </c>
      <c r="H17" s="9" t="s">
        <v>20</v>
      </c>
      <c r="I17" s="9"/>
      <c r="J17" s="9"/>
      <c r="K17" s="9">
        <v>1</v>
      </c>
      <c r="L17" s="9" t="s">
        <v>20</v>
      </c>
      <c r="M17" s="9" t="str">
        <f t="shared" si="0"/>
        <v>AmD006-1d1d</v>
      </c>
      <c r="N17" s="9">
        <f t="shared" si="1"/>
        <v>2</v>
      </c>
      <c r="O17" s="2" t="str">
        <f t="shared" si="2"/>
        <v>Pelo menos uma vez</v>
      </c>
    </row>
    <row r="18" spans="1:15" x14ac:dyDescent="0.25">
      <c r="A18" s="2" t="s">
        <v>17</v>
      </c>
      <c r="B18" s="2" t="s">
        <v>41</v>
      </c>
      <c r="C18" s="2" t="s">
        <v>139</v>
      </c>
      <c r="D18" s="8">
        <v>4</v>
      </c>
      <c r="E18" s="8">
        <v>2</v>
      </c>
      <c r="F18" s="8">
        <v>7</v>
      </c>
      <c r="G18" s="9">
        <v>1</v>
      </c>
      <c r="H18" s="9" t="s">
        <v>20</v>
      </c>
      <c r="I18" s="9"/>
      <c r="J18" s="9"/>
      <c r="K18" s="9">
        <v>1</v>
      </c>
      <c r="L18" s="9" t="s">
        <v>20</v>
      </c>
      <c r="M18" s="9" t="str">
        <f t="shared" si="0"/>
        <v>AmD007-1d1d</v>
      </c>
      <c r="N18" s="9">
        <f t="shared" si="1"/>
        <v>2</v>
      </c>
      <c r="O18" s="2" t="str">
        <f t="shared" si="2"/>
        <v>Pelo menos uma vez</v>
      </c>
    </row>
    <row r="19" spans="1:15" x14ac:dyDescent="0.25">
      <c r="A19" s="2" t="s">
        <v>17</v>
      </c>
      <c r="B19" s="2" t="s">
        <v>41</v>
      </c>
      <c r="C19" s="2" t="s">
        <v>140</v>
      </c>
      <c r="D19" s="8">
        <v>4</v>
      </c>
      <c r="E19" s="8">
        <v>2</v>
      </c>
      <c r="F19" s="8">
        <v>8</v>
      </c>
      <c r="G19" s="9">
        <v>1</v>
      </c>
      <c r="H19" s="9" t="s">
        <v>20</v>
      </c>
      <c r="I19" s="9"/>
      <c r="J19" s="9"/>
      <c r="K19" s="9">
        <v>1</v>
      </c>
      <c r="L19" s="9" t="s">
        <v>20</v>
      </c>
      <c r="M19" s="9" t="str">
        <f t="shared" si="0"/>
        <v>AmD008-1d1d</v>
      </c>
      <c r="N19" s="9">
        <f t="shared" si="1"/>
        <v>2</v>
      </c>
      <c r="O19" s="2" t="str">
        <f t="shared" si="2"/>
        <v>Pelo menos uma vez</v>
      </c>
    </row>
    <row r="20" spans="1:15" x14ac:dyDescent="0.25">
      <c r="A20" s="2" t="s">
        <v>17</v>
      </c>
      <c r="B20" s="2" t="s">
        <v>41</v>
      </c>
      <c r="C20" s="2" t="s">
        <v>141</v>
      </c>
      <c r="D20" s="8">
        <v>4</v>
      </c>
      <c r="E20" s="8">
        <v>2</v>
      </c>
      <c r="F20" s="8">
        <v>9</v>
      </c>
      <c r="G20" s="9">
        <v>1</v>
      </c>
      <c r="H20" s="9" t="s">
        <v>20</v>
      </c>
      <c r="I20" s="9"/>
      <c r="J20" s="9"/>
      <c r="K20" s="9">
        <v>1</v>
      </c>
      <c r="L20" s="9" t="s">
        <v>20</v>
      </c>
      <c r="M20" s="9" t="str">
        <f t="shared" si="0"/>
        <v>AmD009-1d1d</v>
      </c>
      <c r="N20" s="9">
        <f t="shared" si="1"/>
        <v>2</v>
      </c>
      <c r="O20" s="2" t="str">
        <f t="shared" si="2"/>
        <v>Pelo menos uma vez</v>
      </c>
    </row>
    <row r="21" spans="1:15" x14ac:dyDescent="0.25">
      <c r="A21" s="2" t="s">
        <v>17</v>
      </c>
      <c r="B21" s="2" t="s">
        <v>41</v>
      </c>
      <c r="C21" s="2" t="s">
        <v>142</v>
      </c>
      <c r="D21" s="8">
        <v>4</v>
      </c>
      <c r="E21" s="8">
        <v>2</v>
      </c>
      <c r="F21" s="8">
        <v>10</v>
      </c>
      <c r="G21" s="9">
        <v>1</v>
      </c>
      <c r="H21" s="9" t="s">
        <v>20</v>
      </c>
      <c r="I21" s="9"/>
      <c r="J21" s="9"/>
      <c r="K21" s="9">
        <v>1</v>
      </c>
      <c r="L21" s="9" t="s">
        <v>20</v>
      </c>
      <c r="M21" s="9" t="str">
        <f t="shared" si="0"/>
        <v>AmD010-1d1d</v>
      </c>
      <c r="N21" s="9">
        <f t="shared" si="1"/>
        <v>2</v>
      </c>
      <c r="O21" s="2" t="str">
        <f t="shared" si="2"/>
        <v>Pelo menos uma vez</v>
      </c>
    </row>
    <row r="22" spans="1:15" x14ac:dyDescent="0.25">
      <c r="A22" s="2" t="s">
        <v>17</v>
      </c>
      <c r="B22" s="2" t="s">
        <v>41</v>
      </c>
      <c r="C22" s="2" t="s">
        <v>143</v>
      </c>
      <c r="D22" s="8">
        <v>4</v>
      </c>
      <c r="E22" s="8">
        <v>2</v>
      </c>
      <c r="F22" s="8">
        <v>11</v>
      </c>
      <c r="G22" s="9">
        <v>1</v>
      </c>
      <c r="H22" s="9" t="s">
        <v>20</v>
      </c>
      <c r="I22" s="9"/>
      <c r="J22" s="9"/>
      <c r="K22" s="9">
        <v>1</v>
      </c>
      <c r="L22" s="9" t="s">
        <v>20</v>
      </c>
      <c r="M22" s="9" t="str">
        <f t="shared" si="0"/>
        <v>AmD011-1d1d</v>
      </c>
      <c r="N22" s="9">
        <f t="shared" si="1"/>
        <v>2</v>
      </c>
      <c r="O22" s="2" t="str">
        <f t="shared" si="2"/>
        <v>Pelo menos uma vez</v>
      </c>
    </row>
    <row r="23" spans="1:15" x14ac:dyDescent="0.25">
      <c r="A23" s="2" t="s">
        <v>17</v>
      </c>
      <c r="B23" s="2" t="s">
        <v>41</v>
      </c>
      <c r="C23" s="2" t="s">
        <v>144</v>
      </c>
      <c r="D23" s="8">
        <v>4</v>
      </c>
      <c r="E23" s="8">
        <v>2</v>
      </c>
      <c r="F23" s="8">
        <v>12</v>
      </c>
      <c r="G23" s="9">
        <v>1</v>
      </c>
      <c r="H23" s="9" t="s">
        <v>20</v>
      </c>
      <c r="I23" s="9"/>
      <c r="J23" s="9"/>
      <c r="K23" s="9">
        <v>1</v>
      </c>
      <c r="L23" s="9" t="s">
        <v>20</v>
      </c>
      <c r="M23" s="9" t="str">
        <f t="shared" si="0"/>
        <v>AmD012-1d1d</v>
      </c>
      <c r="N23" s="9">
        <f t="shared" si="1"/>
        <v>2</v>
      </c>
      <c r="O23" s="2" t="str">
        <f t="shared" si="2"/>
        <v>Pelo menos uma vez</v>
      </c>
    </row>
    <row r="24" spans="1:15" x14ac:dyDescent="0.25">
      <c r="A24" s="2" t="s">
        <v>17</v>
      </c>
      <c r="B24" s="2" t="s">
        <v>50</v>
      </c>
      <c r="C24" s="2" t="s">
        <v>145</v>
      </c>
      <c r="D24" s="8">
        <v>4</v>
      </c>
      <c r="E24" s="8">
        <v>3</v>
      </c>
      <c r="F24" s="8">
        <v>1</v>
      </c>
      <c r="G24" s="9">
        <v>1</v>
      </c>
      <c r="H24" s="9" t="s">
        <v>20</v>
      </c>
      <c r="I24" s="9">
        <v>7</v>
      </c>
      <c r="J24" s="9" t="s">
        <v>20</v>
      </c>
      <c r="K24" s="9">
        <v>60</v>
      </c>
      <c r="L24" s="9" t="s">
        <v>20</v>
      </c>
      <c r="M24" s="9" t="str">
        <f t="shared" si="0"/>
        <v>AmA001-1d60d</v>
      </c>
      <c r="N24" s="9">
        <f t="shared" si="1"/>
        <v>3</v>
      </c>
      <c r="O24" s="2" t="str">
        <f t="shared" si="2"/>
        <v>Uma vez por dia, a cada 7 dias, por um período de 60 dias</v>
      </c>
    </row>
    <row r="25" spans="1:15" x14ac:dyDescent="0.25">
      <c r="A25" s="2" t="s">
        <v>17</v>
      </c>
      <c r="B25" s="2" t="s">
        <v>50</v>
      </c>
      <c r="C25" s="2" t="s">
        <v>146</v>
      </c>
      <c r="D25" s="8">
        <v>4</v>
      </c>
      <c r="E25" s="8">
        <v>3</v>
      </c>
      <c r="F25" s="8">
        <v>2</v>
      </c>
      <c r="G25" s="9">
        <v>1</v>
      </c>
      <c r="H25" s="9" t="s">
        <v>20</v>
      </c>
      <c r="I25" s="9"/>
      <c r="J25" s="9"/>
      <c r="K25" s="9">
        <v>1</v>
      </c>
      <c r="L25" s="9" t="s">
        <v>20</v>
      </c>
      <c r="M25" s="9" t="str">
        <f t="shared" si="0"/>
        <v>AmA002-1d1d</v>
      </c>
      <c r="N25" s="9">
        <f t="shared" si="1"/>
        <v>3</v>
      </c>
      <c r="O25" s="2" t="str">
        <f t="shared" si="2"/>
        <v>Pelo menos uma vez</v>
      </c>
    </row>
    <row r="26" spans="1:15" x14ac:dyDescent="0.25">
      <c r="A26" s="2" t="s">
        <v>17</v>
      </c>
      <c r="B26" s="2" t="s">
        <v>50</v>
      </c>
      <c r="C26" s="2" t="s">
        <v>147</v>
      </c>
      <c r="D26" s="8">
        <v>4</v>
      </c>
      <c r="E26" s="8">
        <v>3</v>
      </c>
      <c r="F26" s="8">
        <v>3</v>
      </c>
      <c r="G26" s="9">
        <v>1</v>
      </c>
      <c r="H26" s="9" t="s">
        <v>20</v>
      </c>
      <c r="I26" s="9"/>
      <c r="J26" s="9"/>
      <c r="K26" s="9">
        <v>1</v>
      </c>
      <c r="L26" s="9" t="s">
        <v>20</v>
      </c>
      <c r="M26" s="9" t="str">
        <f t="shared" si="0"/>
        <v>AmA003-1d1d</v>
      </c>
      <c r="N26" s="9">
        <f t="shared" si="1"/>
        <v>3</v>
      </c>
      <c r="O26" s="2" t="str">
        <f t="shared" si="2"/>
        <v>Pelo menos uma vez</v>
      </c>
    </row>
    <row r="27" spans="1:15" x14ac:dyDescent="0.25">
      <c r="A27" s="2" t="s">
        <v>17</v>
      </c>
      <c r="B27" s="2" t="s">
        <v>50</v>
      </c>
      <c r="C27" s="2" t="s">
        <v>148</v>
      </c>
      <c r="D27" s="8">
        <v>4</v>
      </c>
      <c r="E27" s="8">
        <v>3</v>
      </c>
      <c r="F27" s="8">
        <v>4</v>
      </c>
      <c r="G27" s="9">
        <v>1</v>
      </c>
      <c r="H27" s="9" t="s">
        <v>20</v>
      </c>
      <c r="I27" s="9"/>
      <c r="J27" s="9"/>
      <c r="K27" s="9">
        <v>1</v>
      </c>
      <c r="L27" s="9" t="s">
        <v>20</v>
      </c>
      <c r="M27" s="9" t="str">
        <f t="shared" si="0"/>
        <v>AmA004-1d1d</v>
      </c>
      <c r="N27" s="9">
        <f t="shared" si="1"/>
        <v>3</v>
      </c>
      <c r="O27" s="2" t="str">
        <f t="shared" si="2"/>
        <v>Pelo menos uma vez</v>
      </c>
    </row>
    <row r="28" spans="1:15" x14ac:dyDescent="0.25">
      <c r="A28" s="2" t="s">
        <v>17</v>
      </c>
      <c r="B28" s="2" t="s">
        <v>50</v>
      </c>
      <c r="C28" s="2" t="s">
        <v>149</v>
      </c>
      <c r="D28" s="8">
        <v>4</v>
      </c>
      <c r="E28" s="8">
        <v>3</v>
      </c>
      <c r="F28" s="8">
        <v>5</v>
      </c>
      <c r="G28" s="9">
        <v>1</v>
      </c>
      <c r="H28" s="9" t="s">
        <v>20</v>
      </c>
      <c r="I28" s="9">
        <v>7</v>
      </c>
      <c r="J28" s="9" t="s">
        <v>20</v>
      </c>
      <c r="K28" s="9">
        <v>30</v>
      </c>
      <c r="L28" s="9" t="s">
        <v>20</v>
      </c>
      <c r="M28" s="9" t="str">
        <f t="shared" si="0"/>
        <v>AmA005-1d30d</v>
      </c>
      <c r="N28" s="9">
        <f t="shared" si="1"/>
        <v>3</v>
      </c>
      <c r="O28" s="2" t="str">
        <f t="shared" si="2"/>
        <v>Uma vez por dia, a cada 7 dias, por um período de 30 dias</v>
      </c>
    </row>
    <row r="29" spans="1:15" x14ac:dyDescent="0.25">
      <c r="A29" s="2" t="s">
        <v>17</v>
      </c>
      <c r="B29" s="2" t="s">
        <v>50</v>
      </c>
      <c r="C29" s="2" t="s">
        <v>150</v>
      </c>
      <c r="D29" s="8">
        <v>4</v>
      </c>
      <c r="E29" s="8">
        <v>3</v>
      </c>
      <c r="F29" s="8">
        <v>6</v>
      </c>
      <c r="G29" s="9">
        <v>1</v>
      </c>
      <c r="H29" s="9" t="s">
        <v>20</v>
      </c>
      <c r="I29" s="9"/>
      <c r="J29" s="9"/>
      <c r="K29" s="9">
        <v>21</v>
      </c>
      <c r="L29" s="9" t="s">
        <v>20</v>
      </c>
      <c r="M29" s="9" t="str">
        <f t="shared" si="0"/>
        <v>AmA006-1d21d</v>
      </c>
      <c r="N29" s="9">
        <f t="shared" si="1"/>
        <v>3</v>
      </c>
      <c r="O29" s="2" t="str">
        <f t="shared" si="2"/>
        <v>Uma vez por dia por um período de 21 dias</v>
      </c>
    </row>
    <row r="30" spans="1:15" x14ac:dyDescent="0.25">
      <c r="A30" s="2" t="s">
        <v>17</v>
      </c>
      <c r="B30" s="2" t="s">
        <v>50</v>
      </c>
      <c r="C30" s="2" t="s">
        <v>151</v>
      </c>
      <c r="D30" s="8">
        <v>4</v>
      </c>
      <c r="E30" s="8">
        <v>3</v>
      </c>
      <c r="F30" s="8">
        <v>7</v>
      </c>
      <c r="G30" s="9">
        <v>1</v>
      </c>
      <c r="H30" s="9" t="s">
        <v>20</v>
      </c>
      <c r="I30" s="9"/>
      <c r="J30" s="9"/>
      <c r="K30" s="9">
        <v>1</v>
      </c>
      <c r="L30" s="9" t="s">
        <v>20</v>
      </c>
      <c r="M30" s="9" t="str">
        <f t="shared" si="0"/>
        <v>AmA007-1d1d</v>
      </c>
      <c r="N30" s="9">
        <f t="shared" si="1"/>
        <v>3</v>
      </c>
      <c r="O30" s="2" t="str">
        <f t="shared" si="2"/>
        <v>Pelo menos uma vez</v>
      </c>
    </row>
    <row r="31" spans="1:15" x14ac:dyDescent="0.25">
      <c r="A31" s="2" t="s">
        <v>17</v>
      </c>
      <c r="B31" s="2" t="s">
        <v>50</v>
      </c>
      <c r="C31" s="2" t="s">
        <v>152</v>
      </c>
      <c r="D31" s="8">
        <v>4</v>
      </c>
      <c r="E31" s="8">
        <v>3</v>
      </c>
      <c r="F31" s="8">
        <v>8</v>
      </c>
      <c r="G31" s="9">
        <v>1</v>
      </c>
      <c r="H31" s="9" t="s">
        <v>20</v>
      </c>
      <c r="I31" s="9">
        <v>7</v>
      </c>
      <c r="J31" s="9" t="s">
        <v>20</v>
      </c>
      <c r="K31" s="9">
        <v>21</v>
      </c>
      <c r="L31" s="9" t="s">
        <v>20</v>
      </c>
      <c r="M31" s="9" t="str">
        <f t="shared" si="0"/>
        <v>AmA008-1d21d</v>
      </c>
      <c r="N31" s="9">
        <f t="shared" si="1"/>
        <v>3</v>
      </c>
      <c r="O31" s="2" t="str">
        <f t="shared" si="2"/>
        <v>Uma vez por dia, a cada 7 dias, por um período de 21 dias</v>
      </c>
    </row>
    <row r="32" spans="1:15" x14ac:dyDescent="0.25">
      <c r="A32" s="2" t="s">
        <v>17</v>
      </c>
      <c r="B32" s="2" t="s">
        <v>50</v>
      </c>
      <c r="C32" s="2" t="s">
        <v>153</v>
      </c>
      <c r="D32" s="8">
        <v>4</v>
      </c>
      <c r="E32" s="8">
        <v>3</v>
      </c>
      <c r="F32" s="8">
        <v>9</v>
      </c>
      <c r="G32" s="9">
        <v>1</v>
      </c>
      <c r="H32" s="9" t="s">
        <v>20</v>
      </c>
      <c r="I32" s="9"/>
      <c r="J32" s="9"/>
      <c r="K32" s="9">
        <v>1</v>
      </c>
      <c r="L32" s="9" t="s">
        <v>20</v>
      </c>
      <c r="M32" s="9" t="str">
        <f t="shared" si="0"/>
        <v>AmA009-1d1d</v>
      </c>
      <c r="N32" s="9">
        <f t="shared" si="1"/>
        <v>3</v>
      </c>
      <c r="O32" s="2" t="str">
        <f t="shared" si="2"/>
        <v>Pelo menos uma vez</v>
      </c>
    </row>
    <row r="33" spans="1:15" x14ac:dyDescent="0.25">
      <c r="A33" s="2" t="s">
        <v>17</v>
      </c>
      <c r="B33" s="2" t="s">
        <v>50</v>
      </c>
      <c r="C33" s="2" t="s">
        <v>154</v>
      </c>
      <c r="D33" s="8">
        <v>4</v>
      </c>
      <c r="E33" s="8">
        <v>3</v>
      </c>
      <c r="F33" s="8">
        <v>10</v>
      </c>
      <c r="G33" s="9">
        <v>1</v>
      </c>
      <c r="H33" s="9" t="s">
        <v>20</v>
      </c>
      <c r="I33" s="9"/>
      <c r="J33" s="9"/>
      <c r="K33" s="9">
        <v>1</v>
      </c>
      <c r="L33" s="9" t="s">
        <v>20</v>
      </c>
      <c r="M33" s="9" t="str">
        <f t="shared" si="0"/>
        <v>AmA010-1d1d</v>
      </c>
      <c r="N33" s="9">
        <f t="shared" si="1"/>
        <v>3</v>
      </c>
      <c r="O33" s="2" t="str">
        <f t="shared" si="2"/>
        <v>Pelo menos uma vez</v>
      </c>
    </row>
    <row r="34" spans="1:15" x14ac:dyDescent="0.25">
      <c r="A34" s="2" t="s">
        <v>17</v>
      </c>
      <c r="B34" s="2" t="s">
        <v>50</v>
      </c>
      <c r="C34" s="2" t="s">
        <v>155</v>
      </c>
      <c r="D34" s="8">
        <v>4</v>
      </c>
      <c r="E34" s="8">
        <v>3</v>
      </c>
      <c r="F34" s="8">
        <v>11</v>
      </c>
      <c r="G34" s="9">
        <v>1</v>
      </c>
      <c r="H34" s="9" t="s">
        <v>20</v>
      </c>
      <c r="I34" s="9"/>
      <c r="J34" s="9"/>
      <c r="K34" s="9">
        <v>1</v>
      </c>
      <c r="L34" s="9" t="s">
        <v>20</v>
      </c>
      <c r="M34" s="9" t="str">
        <f t="shared" si="0"/>
        <v>AmA011-1d1d</v>
      </c>
      <c r="N34" s="9">
        <f t="shared" si="1"/>
        <v>3</v>
      </c>
      <c r="O34" s="2" t="str">
        <f t="shared" si="2"/>
        <v>Pelo menos uma vez</v>
      </c>
    </row>
    <row r="35" spans="1:15" x14ac:dyDescent="0.25">
      <c r="A35" s="2" t="s">
        <v>17</v>
      </c>
      <c r="B35" s="2" t="s">
        <v>50</v>
      </c>
      <c r="C35" s="2" t="s">
        <v>156</v>
      </c>
      <c r="D35" s="8">
        <v>4</v>
      </c>
      <c r="E35" s="8">
        <v>3</v>
      </c>
      <c r="F35" s="8">
        <v>12</v>
      </c>
      <c r="G35" s="9">
        <v>1</v>
      </c>
      <c r="H35" s="9" t="s">
        <v>20</v>
      </c>
      <c r="I35" s="9">
        <v>2</v>
      </c>
      <c r="J35" s="9" t="s">
        <v>20</v>
      </c>
      <c r="K35" s="9">
        <v>21</v>
      </c>
      <c r="L35" s="9" t="s">
        <v>20</v>
      </c>
      <c r="M35" s="9" t="str">
        <f t="shared" si="0"/>
        <v>AmA012-1d21d</v>
      </c>
      <c r="N35" s="9">
        <f t="shared" si="1"/>
        <v>3</v>
      </c>
      <c r="O35" s="2" t="str">
        <f t="shared" si="2"/>
        <v>Uma vez por dia, a cada 2 dias, por um período de 21 dias</v>
      </c>
    </row>
    <row r="36" spans="1:15" x14ac:dyDescent="0.25">
      <c r="A36" s="2" t="s">
        <v>17</v>
      </c>
      <c r="B36" s="2" t="s">
        <v>50</v>
      </c>
      <c r="C36" s="2" t="s">
        <v>157</v>
      </c>
      <c r="D36" s="8">
        <v>4</v>
      </c>
      <c r="E36" s="8">
        <v>3</v>
      </c>
      <c r="F36" s="8">
        <v>13</v>
      </c>
      <c r="G36" s="9">
        <v>1</v>
      </c>
      <c r="H36" s="9" t="s">
        <v>20</v>
      </c>
      <c r="I36" s="9"/>
      <c r="J36" s="9"/>
      <c r="K36" s="9">
        <v>1</v>
      </c>
      <c r="L36" s="9" t="s">
        <v>20</v>
      </c>
      <c r="M36" s="9" t="str">
        <f t="shared" si="0"/>
        <v>AmA013-1d1d</v>
      </c>
      <c r="N36" s="9">
        <f t="shared" si="1"/>
        <v>3</v>
      </c>
      <c r="O36" s="2" t="str">
        <f t="shared" si="2"/>
        <v>Pelo menos uma vez</v>
      </c>
    </row>
    <row r="37" spans="1:15" x14ac:dyDescent="0.25">
      <c r="A37" s="2" t="s">
        <v>17</v>
      </c>
      <c r="B37" s="2" t="s">
        <v>50</v>
      </c>
      <c r="C37" s="2" t="s">
        <v>158</v>
      </c>
      <c r="D37" s="8">
        <v>4</v>
      </c>
      <c r="E37" s="8">
        <v>3</v>
      </c>
      <c r="F37" s="8">
        <v>14</v>
      </c>
      <c r="G37" s="9">
        <v>1</v>
      </c>
      <c r="H37" s="9" t="s">
        <v>20</v>
      </c>
      <c r="I37" s="9"/>
      <c r="J37" s="9"/>
      <c r="K37" s="9">
        <v>1</v>
      </c>
      <c r="L37" s="9" t="s">
        <v>20</v>
      </c>
      <c r="M37" s="9" t="str">
        <f t="shared" si="0"/>
        <v>AmA014-1d1d</v>
      </c>
      <c r="N37" s="9">
        <f t="shared" si="1"/>
        <v>3</v>
      </c>
      <c r="O37" s="2" t="str">
        <f t="shared" si="2"/>
        <v>Pelo menos uma vez</v>
      </c>
    </row>
    <row r="38" spans="1:15" x14ac:dyDescent="0.25">
      <c r="A38" s="2" t="s">
        <v>17</v>
      </c>
      <c r="B38" s="2" t="s">
        <v>50</v>
      </c>
      <c r="C38" s="2" t="s">
        <v>159</v>
      </c>
      <c r="D38" s="8">
        <v>4</v>
      </c>
      <c r="E38" s="8">
        <v>3</v>
      </c>
      <c r="F38" s="8">
        <v>15</v>
      </c>
      <c r="G38" s="9">
        <v>1</v>
      </c>
      <c r="H38" s="9" t="s">
        <v>20</v>
      </c>
      <c r="I38" s="9">
        <v>7</v>
      </c>
      <c r="J38" s="9" t="s">
        <v>20</v>
      </c>
      <c r="K38" s="9">
        <v>60</v>
      </c>
      <c r="L38" s="9" t="s">
        <v>20</v>
      </c>
      <c r="M38" s="9" t="str">
        <f t="shared" si="0"/>
        <v>AmA015-1d60d</v>
      </c>
      <c r="N38" s="9">
        <f t="shared" si="1"/>
        <v>3</v>
      </c>
      <c r="O38" s="2" t="str">
        <f t="shared" si="2"/>
        <v>Uma vez por dia, a cada 7 dias, por um período de 60 dias</v>
      </c>
    </row>
    <row r="40" spans="1:15" x14ac:dyDescent="0.25">
      <c r="A40" s="4"/>
      <c r="B40" s="4"/>
    </row>
  </sheetData>
  <dataValidations count="1">
    <dataValidation type="whole" operator="greaterThanOrEqual" allowBlank="1" showInputMessage="1" showErrorMessage="1" errorTitle="Número inválido" error="Informe um número inteiro maior ou igual a 0" sqref="I2:I1037 K2:K1037 G2:G1037" xr:uid="{00000000-0002-0000-0500-000003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Unidade inválida" error="Use apenas: d (dia) ou s (semana)" xr:uid="{00000000-0002-0000-0500-000000000000}">
          <x14:formula1>
            <xm:f>_DV!$A$1:$A$2</xm:f>
          </x14:formula1>
          <xm:sqref>J2:J1037 L2:L1037 H2:H1037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40"/>
  <sheetViews>
    <sheetView zoomScale="85" zoomScaleNormal="85" workbookViewId="0">
      <pane ySplit="1" topLeftCell="A22" activePane="bottomLeft" state="frozen"/>
      <selection pane="bottomLeft" activeCell="C33" sqref="C33"/>
    </sheetView>
  </sheetViews>
  <sheetFormatPr defaultRowHeight="15" x14ac:dyDescent="0.25"/>
  <cols>
    <col min="1" max="1" width="12.28515625" bestFit="1" customWidth="1"/>
    <col min="2" max="2" width="9.5703125" bestFit="1" customWidth="1"/>
    <col min="3" max="3" width="65.5703125" bestFit="1" customWidth="1"/>
    <col min="4" max="12" width="3.7109375" bestFit="1" customWidth="1"/>
    <col min="13" max="13" width="14.42578125" bestFit="1" customWidth="1"/>
    <col min="14" max="14" width="3.7109375" style="10" bestFit="1" customWidth="1"/>
    <col min="15" max="15" width="39.28515625" bestFit="1" customWidth="1"/>
  </cols>
  <sheetData>
    <row r="1" spans="1:19" ht="84.75" x14ac:dyDescent="0.25">
      <c r="A1" s="5" t="s">
        <v>22</v>
      </c>
      <c r="B1" s="5" t="s">
        <v>301</v>
      </c>
      <c r="C1" s="5" t="s">
        <v>23</v>
      </c>
      <c r="D1" s="5" t="s">
        <v>24</v>
      </c>
      <c r="E1" s="5" t="s">
        <v>302</v>
      </c>
      <c r="F1" s="5" t="s">
        <v>25</v>
      </c>
      <c r="G1" s="5" t="s">
        <v>26</v>
      </c>
      <c r="H1" s="5" t="s">
        <v>27</v>
      </c>
      <c r="I1" s="5" t="s">
        <v>305</v>
      </c>
      <c r="J1" s="5" t="s">
        <v>306</v>
      </c>
      <c r="K1" s="5" t="s">
        <v>28</v>
      </c>
      <c r="L1" s="5" t="s">
        <v>29</v>
      </c>
      <c r="M1" s="13" t="s">
        <v>30</v>
      </c>
      <c r="N1" s="13" t="s">
        <v>31</v>
      </c>
      <c r="O1" s="13" t="s">
        <v>307</v>
      </c>
      <c r="P1" s="16"/>
      <c r="Q1" s="16"/>
      <c r="R1" s="6"/>
      <c r="S1" s="6"/>
    </row>
    <row r="2" spans="1:19" x14ac:dyDescent="0.25">
      <c r="A2" s="2" t="s">
        <v>18</v>
      </c>
      <c r="B2" s="2" t="s">
        <v>32</v>
      </c>
      <c r="C2" s="2" t="s">
        <v>160</v>
      </c>
      <c r="D2" s="3">
        <v>5</v>
      </c>
      <c r="E2" s="3">
        <v>1</v>
      </c>
      <c r="F2" s="3">
        <v>1</v>
      </c>
      <c r="G2" s="2"/>
      <c r="H2" s="2"/>
      <c r="I2" s="2"/>
      <c r="J2" s="2"/>
      <c r="K2" s="2"/>
      <c r="L2" s="2"/>
      <c r="M2" s="9" t="str">
        <f>LEFT(A2,2)&amp;LEFT(B2,1)&amp;TEXT(F2,"000")&amp;"-"&amp;IF(
  AND(G2="",H2="",K2="",L2=""),
  "0d0d",
  TEXT(G2,"0")&amp;LOWER(H2)&amp;TEXT(K2,"0")&amp;LOWER(L2)
)</f>
        <v>CoB001-0d0d</v>
      </c>
      <c r="N2" s="9">
        <f>IF(B2="Básico",1,IF(B2="Desafio",2,IF(B2="Avançado",3)))</f>
        <v>1</v>
      </c>
      <c r="O2" s="2" t="str">
        <f>IF(
  AND(G2="",H2="",I2="",J2="",K2="",L2=""),
  "Fique atento para a primeira oportunidade que surgir",
  IF(AND(G2=0,LOWER(H2)="d",K2=0,LOWER(L2)="d"),
     "Fique atento para a primeira oportunidade que surgir",
     IF(AND(G2=1,LOWER(H2)="d",K2=1,LOWER(L2)="d"),
        "Pelo menos uma vez",
        IF(G2=0,"O dia inteiro",IF(G2=1,"Uma vez",TEXT(G2,"0")&amp;" vezes")&amp;" por "&amp;IF(LOWER(H2)="d","dia","semana"))
        &amp;IF(AND(ISNUMBER(I2),I2&gt;0),", a cada "&amp;TEXT(I2,"0")&amp;" "&amp;IF(I2=1,IF(LOWER(J2)="d","dia","semana"),IF(LOWER(J2)="d","dias","semanas"))&amp;",","")
        &amp;" por um período de "&amp;TEXT(K2,"0")&amp;" "&amp;IF(K2=1,IF(LOWER(L2)="d","dia","semana"),IF(LOWER(L2)="d","dias","semanas"))
     )
  )
)</f>
        <v>Fique atento para a primeira oportunidade que surgir</v>
      </c>
    </row>
    <row r="3" spans="1:19" x14ac:dyDescent="0.25">
      <c r="A3" s="2" t="s">
        <v>18</v>
      </c>
      <c r="B3" s="2" t="s">
        <v>32</v>
      </c>
      <c r="C3" s="2" t="s">
        <v>161</v>
      </c>
      <c r="D3" s="3">
        <v>5</v>
      </c>
      <c r="E3" s="3">
        <v>1</v>
      </c>
      <c r="F3" s="3">
        <v>2</v>
      </c>
      <c r="G3" s="2"/>
      <c r="H3" s="2"/>
      <c r="I3" s="2"/>
      <c r="J3" s="2"/>
      <c r="K3" s="2"/>
      <c r="L3" s="2"/>
      <c r="M3" s="9" t="str">
        <f t="shared" ref="M3:M38" si="0">LEFT(A3,2)&amp;LEFT(B3,1)&amp;TEXT(F3,"000")&amp;"-"&amp;IF(
  AND(G3="",H3="",K3="",L3=""),
  "0d0d",
  TEXT(G3,"0")&amp;LOWER(H3)&amp;TEXT(K3,"0")&amp;LOWER(L3)
)</f>
        <v>CoB002-0d0d</v>
      </c>
      <c r="N3" s="9">
        <f t="shared" ref="N3:N38" si="1">IF(B3="Básico",1,IF(B3="Desafio",2,IF(B3="Avançado",3)))</f>
        <v>1</v>
      </c>
      <c r="O3" s="2" t="str">
        <f t="shared" ref="O3:O38" si="2">IF(
  AND(G3="",H3="",I3="",J3="",K3="",L3=""),
  "Fique atento para a primeira oportunidade que surgir",
  IF(AND(G3=0,LOWER(H3)="d",K3=0,LOWER(L3)="d"),
     "Fique atento para a primeira oportunidade que surgir",
     IF(AND(G3=1,LOWER(H3)="d",K3=1,LOWER(L3)="d"),
        "Pelo menos uma vez",
        IF(G3=0,"O dia inteiro",IF(G3=1,"Uma vez",TEXT(G3,"0")&amp;" vezes")&amp;" por "&amp;IF(LOWER(H3)="d","dia","semana"))
        &amp;IF(AND(ISNUMBER(I3),I3&gt;0),", a cada "&amp;TEXT(I3,"0")&amp;" "&amp;IF(I3=1,IF(LOWER(J3)="d","dia","semana"),IF(LOWER(J3)="d","dias","semanas"))&amp;",","")
        &amp;" por um período de "&amp;TEXT(K3,"0")&amp;" "&amp;IF(K3=1,IF(LOWER(L3)="d","dia","semana"),IF(LOWER(L3)="d","dias","semanas"))
     )
  )
)</f>
        <v>Fique atento para a primeira oportunidade que surgir</v>
      </c>
    </row>
    <row r="4" spans="1:19" x14ac:dyDescent="0.25">
      <c r="A4" s="2" t="s">
        <v>18</v>
      </c>
      <c r="B4" s="2" t="s">
        <v>32</v>
      </c>
      <c r="C4" s="2" t="s">
        <v>162</v>
      </c>
      <c r="D4" s="3">
        <v>5</v>
      </c>
      <c r="E4" s="3">
        <v>1</v>
      </c>
      <c r="F4" s="3">
        <v>3</v>
      </c>
      <c r="G4" s="2"/>
      <c r="H4" s="2"/>
      <c r="I4" s="2"/>
      <c r="J4" s="2"/>
      <c r="K4" s="2"/>
      <c r="L4" s="2"/>
      <c r="M4" s="9" t="str">
        <f t="shared" si="0"/>
        <v>CoB003-0d0d</v>
      </c>
      <c r="N4" s="9">
        <f t="shared" si="1"/>
        <v>1</v>
      </c>
      <c r="O4" s="2" t="str">
        <f t="shared" si="2"/>
        <v>Fique atento para a primeira oportunidade que surgir</v>
      </c>
    </row>
    <row r="5" spans="1:19" x14ac:dyDescent="0.25">
      <c r="A5" s="2" t="s">
        <v>18</v>
      </c>
      <c r="B5" s="2" t="s">
        <v>32</v>
      </c>
      <c r="C5" s="2" t="s">
        <v>163</v>
      </c>
      <c r="D5" s="3">
        <v>5</v>
      </c>
      <c r="E5" s="3">
        <v>1</v>
      </c>
      <c r="F5" s="3">
        <v>4</v>
      </c>
      <c r="G5" s="2"/>
      <c r="H5" s="2"/>
      <c r="I5" s="2"/>
      <c r="J5" s="2"/>
      <c r="K5" s="2"/>
      <c r="L5" s="2"/>
      <c r="M5" s="9" t="str">
        <f t="shared" si="0"/>
        <v>CoB004-0d0d</v>
      </c>
      <c r="N5" s="9">
        <f t="shared" si="1"/>
        <v>1</v>
      </c>
      <c r="O5" s="2" t="str">
        <f t="shared" si="2"/>
        <v>Fique atento para a primeira oportunidade que surgir</v>
      </c>
    </row>
    <row r="6" spans="1:19" x14ac:dyDescent="0.25">
      <c r="A6" s="2" t="s">
        <v>18</v>
      </c>
      <c r="B6" s="2" t="s">
        <v>32</v>
      </c>
      <c r="C6" s="2" t="s">
        <v>164</v>
      </c>
      <c r="D6" s="3">
        <v>5</v>
      </c>
      <c r="E6" s="3">
        <v>1</v>
      </c>
      <c r="F6" s="3">
        <v>5</v>
      </c>
      <c r="G6" s="2"/>
      <c r="H6" s="2"/>
      <c r="I6" s="2"/>
      <c r="J6" s="2"/>
      <c r="K6" s="2"/>
      <c r="L6" s="2"/>
      <c r="M6" s="9" t="str">
        <f t="shared" si="0"/>
        <v>CoB005-0d0d</v>
      </c>
      <c r="N6" s="9">
        <f t="shared" si="1"/>
        <v>1</v>
      </c>
      <c r="O6" s="2" t="str">
        <f t="shared" si="2"/>
        <v>Fique atento para a primeira oportunidade que surgir</v>
      </c>
    </row>
    <row r="7" spans="1:19" x14ac:dyDescent="0.25">
      <c r="A7" s="2" t="s">
        <v>18</v>
      </c>
      <c r="B7" s="2" t="s">
        <v>32</v>
      </c>
      <c r="C7" s="2" t="s">
        <v>165</v>
      </c>
      <c r="D7" s="3">
        <v>5</v>
      </c>
      <c r="E7" s="3">
        <v>1</v>
      </c>
      <c r="F7" s="3">
        <v>6</v>
      </c>
      <c r="G7" s="2"/>
      <c r="H7" s="2"/>
      <c r="I7" s="2"/>
      <c r="J7" s="2"/>
      <c r="K7" s="2"/>
      <c r="L7" s="2"/>
      <c r="M7" s="9" t="str">
        <f t="shared" si="0"/>
        <v>CoB006-0d0d</v>
      </c>
      <c r="N7" s="9">
        <f t="shared" si="1"/>
        <v>1</v>
      </c>
      <c r="O7" s="2" t="str">
        <f t="shared" si="2"/>
        <v>Fique atento para a primeira oportunidade que surgir</v>
      </c>
    </row>
    <row r="8" spans="1:19" x14ac:dyDescent="0.25">
      <c r="A8" s="2" t="s">
        <v>18</v>
      </c>
      <c r="B8" s="2" t="s">
        <v>32</v>
      </c>
      <c r="C8" s="2" t="s">
        <v>166</v>
      </c>
      <c r="D8" s="3">
        <v>5</v>
      </c>
      <c r="E8" s="3">
        <v>1</v>
      </c>
      <c r="F8" s="3">
        <v>7</v>
      </c>
      <c r="G8" s="2"/>
      <c r="H8" s="2"/>
      <c r="I8" s="2"/>
      <c r="J8" s="2"/>
      <c r="K8" s="2"/>
      <c r="L8" s="2"/>
      <c r="M8" s="9" t="str">
        <f t="shared" si="0"/>
        <v>CoB007-0d0d</v>
      </c>
      <c r="N8" s="9">
        <f t="shared" si="1"/>
        <v>1</v>
      </c>
      <c r="O8" s="2" t="str">
        <f t="shared" si="2"/>
        <v>Fique atento para a primeira oportunidade que surgir</v>
      </c>
    </row>
    <row r="9" spans="1:19" x14ac:dyDescent="0.25">
      <c r="A9" s="2" t="s">
        <v>18</v>
      </c>
      <c r="B9" s="2" t="s">
        <v>32</v>
      </c>
      <c r="C9" s="2" t="s">
        <v>167</v>
      </c>
      <c r="D9" s="3">
        <v>5</v>
      </c>
      <c r="E9" s="3">
        <v>1</v>
      </c>
      <c r="F9" s="3">
        <v>8</v>
      </c>
      <c r="G9" s="2"/>
      <c r="H9" s="2"/>
      <c r="I9" s="2"/>
      <c r="J9" s="2"/>
      <c r="K9" s="2"/>
      <c r="L9" s="2"/>
      <c r="M9" s="9" t="str">
        <f t="shared" si="0"/>
        <v>CoB008-0d0d</v>
      </c>
      <c r="N9" s="9">
        <f t="shared" si="1"/>
        <v>1</v>
      </c>
      <c r="O9" s="2" t="str">
        <f t="shared" si="2"/>
        <v>Fique atento para a primeira oportunidade que surgir</v>
      </c>
    </row>
    <row r="10" spans="1:19" x14ac:dyDescent="0.25">
      <c r="A10" s="2" t="s">
        <v>18</v>
      </c>
      <c r="B10" s="2" t="s">
        <v>32</v>
      </c>
      <c r="C10" s="2" t="s">
        <v>168</v>
      </c>
      <c r="D10" s="3">
        <v>5</v>
      </c>
      <c r="E10" s="3">
        <v>1</v>
      </c>
      <c r="F10" s="3">
        <v>9</v>
      </c>
      <c r="G10" s="2"/>
      <c r="H10" s="2"/>
      <c r="I10" s="2"/>
      <c r="J10" s="2"/>
      <c r="K10" s="2"/>
      <c r="L10" s="2"/>
      <c r="M10" s="9" t="str">
        <f t="shared" si="0"/>
        <v>CoB009-0d0d</v>
      </c>
      <c r="N10" s="9">
        <f t="shared" si="1"/>
        <v>1</v>
      </c>
      <c r="O10" s="2" t="str">
        <f t="shared" si="2"/>
        <v>Fique atento para a primeira oportunidade que surgir</v>
      </c>
    </row>
    <row r="11" spans="1:19" x14ac:dyDescent="0.25">
      <c r="A11" s="2" t="s">
        <v>18</v>
      </c>
      <c r="B11" s="2" t="s">
        <v>32</v>
      </c>
      <c r="C11" s="2" t="s">
        <v>169</v>
      </c>
      <c r="D11" s="3">
        <v>5</v>
      </c>
      <c r="E11" s="3">
        <v>1</v>
      </c>
      <c r="F11" s="3">
        <v>10</v>
      </c>
      <c r="G11" s="2"/>
      <c r="H11" s="2"/>
      <c r="I11" s="2"/>
      <c r="J11" s="2"/>
      <c r="K11" s="2"/>
      <c r="L11" s="2"/>
      <c r="M11" s="9" t="str">
        <f t="shared" si="0"/>
        <v>CoB010-0d0d</v>
      </c>
      <c r="N11" s="9">
        <f t="shared" si="1"/>
        <v>1</v>
      </c>
      <c r="O11" s="2" t="str">
        <f t="shared" si="2"/>
        <v>Fique atento para a primeira oportunidade que surgir</v>
      </c>
    </row>
    <row r="12" spans="1:19" x14ac:dyDescent="0.25">
      <c r="A12" s="2" t="s">
        <v>18</v>
      </c>
      <c r="B12" s="2" t="s">
        <v>41</v>
      </c>
      <c r="C12" s="2" t="s">
        <v>170</v>
      </c>
      <c r="D12" s="3">
        <v>5</v>
      </c>
      <c r="E12" s="3">
        <v>2</v>
      </c>
      <c r="F12" s="3">
        <v>1</v>
      </c>
      <c r="G12" s="2"/>
      <c r="H12" s="2"/>
      <c r="I12" s="2"/>
      <c r="J12" s="2"/>
      <c r="K12" s="2"/>
      <c r="L12" s="2"/>
      <c r="M12" s="9" t="str">
        <f t="shared" si="0"/>
        <v>CoD001-0d0d</v>
      </c>
      <c r="N12" s="9">
        <f t="shared" si="1"/>
        <v>2</v>
      </c>
      <c r="O12" s="2" t="str">
        <f t="shared" si="2"/>
        <v>Fique atento para a primeira oportunidade que surgir</v>
      </c>
    </row>
    <row r="13" spans="1:19" x14ac:dyDescent="0.25">
      <c r="A13" s="2" t="s">
        <v>18</v>
      </c>
      <c r="B13" s="2" t="s">
        <v>41</v>
      </c>
      <c r="C13" s="2" t="s">
        <v>171</v>
      </c>
      <c r="D13" s="3">
        <v>5</v>
      </c>
      <c r="E13" s="3">
        <v>2</v>
      </c>
      <c r="F13" s="3">
        <v>2</v>
      </c>
      <c r="G13" s="2"/>
      <c r="H13" s="2"/>
      <c r="I13" s="2"/>
      <c r="J13" s="2"/>
      <c r="K13" s="2"/>
      <c r="L13" s="2"/>
      <c r="M13" s="9" t="str">
        <f t="shared" si="0"/>
        <v>CoD002-0d0d</v>
      </c>
      <c r="N13" s="9">
        <f t="shared" si="1"/>
        <v>2</v>
      </c>
      <c r="O13" s="2" t="str">
        <f t="shared" si="2"/>
        <v>Fique atento para a primeira oportunidade que surgir</v>
      </c>
    </row>
    <row r="14" spans="1:19" x14ac:dyDescent="0.25">
      <c r="A14" s="2" t="s">
        <v>18</v>
      </c>
      <c r="B14" s="2" t="s">
        <v>41</v>
      </c>
      <c r="C14" s="2" t="s">
        <v>172</v>
      </c>
      <c r="D14" s="3">
        <v>5</v>
      </c>
      <c r="E14" s="3">
        <v>2</v>
      </c>
      <c r="F14" s="3">
        <v>3</v>
      </c>
      <c r="G14" s="2"/>
      <c r="H14" s="2"/>
      <c r="I14" s="2"/>
      <c r="J14" s="2"/>
      <c r="K14" s="2"/>
      <c r="L14" s="2"/>
      <c r="M14" s="9" t="str">
        <f t="shared" si="0"/>
        <v>CoD003-0d0d</v>
      </c>
      <c r="N14" s="9">
        <f t="shared" si="1"/>
        <v>2</v>
      </c>
      <c r="O14" s="2" t="str">
        <f t="shared" si="2"/>
        <v>Fique atento para a primeira oportunidade que surgir</v>
      </c>
    </row>
    <row r="15" spans="1:19" x14ac:dyDescent="0.25">
      <c r="A15" s="2" t="s">
        <v>18</v>
      </c>
      <c r="B15" s="2" t="s">
        <v>41</v>
      </c>
      <c r="C15" s="2" t="s">
        <v>173</v>
      </c>
      <c r="D15" s="3">
        <v>5</v>
      </c>
      <c r="E15" s="3">
        <v>2</v>
      </c>
      <c r="F15" s="3">
        <v>4</v>
      </c>
      <c r="G15" s="2"/>
      <c r="H15" s="2"/>
      <c r="I15" s="2"/>
      <c r="J15" s="2"/>
      <c r="K15" s="2"/>
      <c r="L15" s="2"/>
      <c r="M15" s="9" t="str">
        <f t="shared" si="0"/>
        <v>CoD004-0d0d</v>
      </c>
      <c r="N15" s="9">
        <f t="shared" si="1"/>
        <v>2</v>
      </c>
      <c r="O15" s="2" t="str">
        <f t="shared" si="2"/>
        <v>Fique atento para a primeira oportunidade que surgir</v>
      </c>
    </row>
    <row r="16" spans="1:19" x14ac:dyDescent="0.25">
      <c r="A16" s="2" t="s">
        <v>18</v>
      </c>
      <c r="B16" s="2" t="s">
        <v>41</v>
      </c>
      <c r="C16" s="2" t="s">
        <v>174</v>
      </c>
      <c r="D16" s="3">
        <v>5</v>
      </c>
      <c r="E16" s="3">
        <v>2</v>
      </c>
      <c r="F16" s="3">
        <v>5</v>
      </c>
      <c r="G16" s="2"/>
      <c r="H16" s="2"/>
      <c r="I16" s="2"/>
      <c r="J16" s="2"/>
      <c r="K16" s="2"/>
      <c r="L16" s="2"/>
      <c r="M16" s="9" t="str">
        <f t="shared" si="0"/>
        <v>CoD005-0d0d</v>
      </c>
      <c r="N16" s="9">
        <f t="shared" si="1"/>
        <v>2</v>
      </c>
      <c r="O16" s="2" t="str">
        <f t="shared" si="2"/>
        <v>Fique atento para a primeira oportunidade que surgir</v>
      </c>
    </row>
    <row r="17" spans="1:15" x14ac:dyDescent="0.25">
      <c r="A17" s="2" t="s">
        <v>18</v>
      </c>
      <c r="B17" s="2" t="s">
        <v>41</v>
      </c>
      <c r="C17" s="2" t="s">
        <v>175</v>
      </c>
      <c r="D17" s="3">
        <v>5</v>
      </c>
      <c r="E17" s="3">
        <v>2</v>
      </c>
      <c r="F17" s="3">
        <v>6</v>
      </c>
      <c r="G17" s="2"/>
      <c r="H17" s="2"/>
      <c r="I17" s="2"/>
      <c r="J17" s="2"/>
      <c r="K17" s="2"/>
      <c r="L17" s="2"/>
      <c r="M17" s="9" t="str">
        <f t="shared" si="0"/>
        <v>CoD006-0d0d</v>
      </c>
      <c r="N17" s="9">
        <f t="shared" si="1"/>
        <v>2</v>
      </c>
      <c r="O17" s="2" t="str">
        <f t="shared" si="2"/>
        <v>Fique atento para a primeira oportunidade que surgir</v>
      </c>
    </row>
    <row r="18" spans="1:15" x14ac:dyDescent="0.25">
      <c r="A18" s="2" t="s">
        <v>18</v>
      </c>
      <c r="B18" s="2" t="s">
        <v>41</v>
      </c>
      <c r="C18" s="2" t="s">
        <v>176</v>
      </c>
      <c r="D18" s="3">
        <v>5</v>
      </c>
      <c r="E18" s="3">
        <v>2</v>
      </c>
      <c r="F18" s="3">
        <v>7</v>
      </c>
      <c r="G18" s="2"/>
      <c r="H18" s="2"/>
      <c r="I18" s="2"/>
      <c r="J18" s="2"/>
      <c r="K18" s="2"/>
      <c r="L18" s="2"/>
      <c r="M18" s="9" t="str">
        <f t="shared" si="0"/>
        <v>CoD007-0d0d</v>
      </c>
      <c r="N18" s="9">
        <f t="shared" si="1"/>
        <v>2</v>
      </c>
      <c r="O18" s="2" t="str">
        <f t="shared" si="2"/>
        <v>Fique atento para a primeira oportunidade que surgir</v>
      </c>
    </row>
    <row r="19" spans="1:15" x14ac:dyDescent="0.25">
      <c r="A19" s="2" t="s">
        <v>18</v>
      </c>
      <c r="B19" s="2" t="s">
        <v>41</v>
      </c>
      <c r="C19" s="2" t="s">
        <v>177</v>
      </c>
      <c r="D19" s="3">
        <v>5</v>
      </c>
      <c r="E19" s="3">
        <v>2</v>
      </c>
      <c r="F19" s="3">
        <v>8</v>
      </c>
      <c r="G19" s="2"/>
      <c r="H19" s="2"/>
      <c r="I19" s="2"/>
      <c r="J19" s="2"/>
      <c r="K19" s="2"/>
      <c r="L19" s="2"/>
      <c r="M19" s="9" t="str">
        <f t="shared" si="0"/>
        <v>CoD008-0d0d</v>
      </c>
      <c r="N19" s="9">
        <f t="shared" si="1"/>
        <v>2</v>
      </c>
      <c r="O19" s="2" t="str">
        <f t="shared" si="2"/>
        <v>Fique atento para a primeira oportunidade que surgir</v>
      </c>
    </row>
    <row r="20" spans="1:15" x14ac:dyDescent="0.25">
      <c r="A20" s="2" t="s">
        <v>18</v>
      </c>
      <c r="B20" s="2" t="s">
        <v>41</v>
      </c>
      <c r="C20" s="2" t="s">
        <v>178</v>
      </c>
      <c r="D20" s="3">
        <v>5</v>
      </c>
      <c r="E20" s="3">
        <v>2</v>
      </c>
      <c r="F20" s="3">
        <v>9</v>
      </c>
      <c r="G20" s="2"/>
      <c r="H20" s="2"/>
      <c r="I20" s="2"/>
      <c r="J20" s="2"/>
      <c r="K20" s="2"/>
      <c r="L20" s="2"/>
      <c r="M20" s="9" t="str">
        <f t="shared" si="0"/>
        <v>CoD009-0d0d</v>
      </c>
      <c r="N20" s="9">
        <f t="shared" si="1"/>
        <v>2</v>
      </c>
      <c r="O20" s="2" t="str">
        <f t="shared" si="2"/>
        <v>Fique atento para a primeira oportunidade que surgir</v>
      </c>
    </row>
    <row r="21" spans="1:15" x14ac:dyDescent="0.25">
      <c r="A21" s="2" t="s">
        <v>18</v>
      </c>
      <c r="B21" s="2" t="s">
        <v>41</v>
      </c>
      <c r="C21" s="2" t="s">
        <v>179</v>
      </c>
      <c r="D21" s="3">
        <v>5</v>
      </c>
      <c r="E21" s="3">
        <v>2</v>
      </c>
      <c r="F21" s="3">
        <v>10</v>
      </c>
      <c r="G21" s="2"/>
      <c r="H21" s="2"/>
      <c r="I21" s="2"/>
      <c r="J21" s="2"/>
      <c r="K21" s="2"/>
      <c r="L21" s="2"/>
      <c r="M21" s="9" t="str">
        <f t="shared" si="0"/>
        <v>CoD010-0d0d</v>
      </c>
      <c r="N21" s="9">
        <f t="shared" si="1"/>
        <v>2</v>
      </c>
      <c r="O21" s="2" t="str">
        <f t="shared" si="2"/>
        <v>Fique atento para a primeira oportunidade que surgir</v>
      </c>
    </row>
    <row r="22" spans="1:15" x14ac:dyDescent="0.25">
      <c r="A22" s="2" t="s">
        <v>18</v>
      </c>
      <c r="B22" s="2" t="s">
        <v>41</v>
      </c>
      <c r="C22" s="2" t="s">
        <v>180</v>
      </c>
      <c r="D22" s="3">
        <v>5</v>
      </c>
      <c r="E22" s="3">
        <v>2</v>
      </c>
      <c r="F22" s="3">
        <v>11</v>
      </c>
      <c r="G22" s="2"/>
      <c r="H22" s="2"/>
      <c r="I22" s="2"/>
      <c r="J22" s="2"/>
      <c r="K22" s="2"/>
      <c r="L22" s="2"/>
      <c r="M22" s="9" t="str">
        <f t="shared" si="0"/>
        <v>CoD011-0d0d</v>
      </c>
      <c r="N22" s="9">
        <f t="shared" si="1"/>
        <v>2</v>
      </c>
      <c r="O22" s="2" t="str">
        <f t="shared" si="2"/>
        <v>Fique atento para a primeira oportunidade que surgir</v>
      </c>
    </row>
    <row r="23" spans="1:15" x14ac:dyDescent="0.25">
      <c r="A23" s="2" t="s">
        <v>18</v>
      </c>
      <c r="B23" s="2" t="s">
        <v>41</v>
      </c>
      <c r="C23" s="2" t="s">
        <v>181</v>
      </c>
      <c r="D23" s="3">
        <v>5</v>
      </c>
      <c r="E23" s="3">
        <v>2</v>
      </c>
      <c r="F23" s="3">
        <v>12</v>
      </c>
      <c r="G23" s="2">
        <v>1</v>
      </c>
      <c r="H23" s="2" t="s">
        <v>20</v>
      </c>
      <c r="I23" s="2"/>
      <c r="J23" s="2"/>
      <c r="K23" s="2">
        <v>7</v>
      </c>
      <c r="L23" s="2" t="s">
        <v>20</v>
      </c>
      <c r="M23" s="9" t="str">
        <f t="shared" si="0"/>
        <v>CoD012-1d7d</v>
      </c>
      <c r="N23" s="9">
        <f t="shared" si="1"/>
        <v>2</v>
      </c>
      <c r="O23" s="2" t="str">
        <f t="shared" si="2"/>
        <v>Uma vez por dia por um período de 7 dias</v>
      </c>
    </row>
    <row r="24" spans="1:15" x14ac:dyDescent="0.25">
      <c r="A24" s="2" t="s">
        <v>18</v>
      </c>
      <c r="B24" s="2" t="s">
        <v>50</v>
      </c>
      <c r="C24" s="2" t="s">
        <v>182</v>
      </c>
      <c r="D24" s="3">
        <v>5</v>
      </c>
      <c r="E24" s="3">
        <v>3</v>
      </c>
      <c r="F24" s="3">
        <v>1</v>
      </c>
      <c r="G24" s="2">
        <v>1</v>
      </c>
      <c r="H24" s="2" t="s">
        <v>20</v>
      </c>
      <c r="I24" s="2">
        <v>7</v>
      </c>
      <c r="J24" s="2" t="s">
        <v>20</v>
      </c>
      <c r="K24" s="2">
        <v>21</v>
      </c>
      <c r="L24" s="2" t="s">
        <v>20</v>
      </c>
      <c r="M24" s="9" t="str">
        <f t="shared" si="0"/>
        <v>CoA001-1d21d</v>
      </c>
      <c r="N24" s="9">
        <f t="shared" si="1"/>
        <v>3</v>
      </c>
      <c r="O24" s="2" t="str">
        <f t="shared" si="2"/>
        <v>Uma vez por dia, a cada 7 dias, por um período de 21 dias</v>
      </c>
    </row>
    <row r="25" spans="1:15" x14ac:dyDescent="0.25">
      <c r="A25" s="2" t="s">
        <v>18</v>
      </c>
      <c r="B25" s="2" t="s">
        <v>50</v>
      </c>
      <c r="C25" s="2" t="s">
        <v>183</v>
      </c>
      <c r="D25" s="3">
        <v>5</v>
      </c>
      <c r="E25" s="3">
        <v>3</v>
      </c>
      <c r="F25" s="3">
        <v>2</v>
      </c>
      <c r="G25" s="2">
        <v>1</v>
      </c>
      <c r="H25" s="2" t="s">
        <v>20</v>
      </c>
      <c r="I25" s="2"/>
      <c r="J25" s="2"/>
      <c r="K25" s="2">
        <v>30</v>
      </c>
      <c r="L25" s="2" t="s">
        <v>20</v>
      </c>
      <c r="M25" s="9" t="str">
        <f t="shared" si="0"/>
        <v>CoA002-1d30d</v>
      </c>
      <c r="N25" s="9">
        <f t="shared" si="1"/>
        <v>3</v>
      </c>
      <c r="O25" s="2" t="str">
        <f t="shared" si="2"/>
        <v>Uma vez por dia por um período de 30 dias</v>
      </c>
    </row>
    <row r="26" spans="1:15" x14ac:dyDescent="0.25">
      <c r="A26" s="2" t="s">
        <v>18</v>
      </c>
      <c r="B26" s="2" t="s">
        <v>50</v>
      </c>
      <c r="C26" s="2" t="s">
        <v>184</v>
      </c>
      <c r="D26" s="3">
        <v>5</v>
      </c>
      <c r="E26" s="3">
        <v>3</v>
      </c>
      <c r="F26" s="3">
        <v>3</v>
      </c>
      <c r="G26" s="2">
        <v>1</v>
      </c>
      <c r="H26" s="2" t="s">
        <v>20</v>
      </c>
      <c r="I26" s="2"/>
      <c r="J26" s="2"/>
      <c r="K26" s="2">
        <v>1</v>
      </c>
      <c r="L26" s="2" t="s">
        <v>20</v>
      </c>
      <c r="M26" s="9" t="str">
        <f t="shared" si="0"/>
        <v>CoA003-1d1d</v>
      </c>
      <c r="N26" s="9">
        <f t="shared" si="1"/>
        <v>3</v>
      </c>
      <c r="O26" s="2" t="str">
        <f t="shared" si="2"/>
        <v>Pelo menos uma vez</v>
      </c>
    </row>
    <row r="27" spans="1:15" x14ac:dyDescent="0.25">
      <c r="A27" s="2" t="s">
        <v>18</v>
      </c>
      <c r="B27" s="2" t="s">
        <v>50</v>
      </c>
      <c r="C27" s="2" t="s">
        <v>185</v>
      </c>
      <c r="D27" s="3">
        <v>5</v>
      </c>
      <c r="E27" s="3">
        <v>3</v>
      </c>
      <c r="F27" s="3">
        <v>4</v>
      </c>
      <c r="G27" s="2">
        <v>1</v>
      </c>
      <c r="H27" s="2" t="s">
        <v>20</v>
      </c>
      <c r="I27" s="2">
        <v>7</v>
      </c>
      <c r="J27" s="2" t="s">
        <v>20</v>
      </c>
      <c r="K27" s="2">
        <v>30</v>
      </c>
      <c r="L27" s="2" t="s">
        <v>20</v>
      </c>
      <c r="M27" s="9" t="str">
        <f t="shared" si="0"/>
        <v>CoA004-1d30d</v>
      </c>
      <c r="N27" s="9">
        <f t="shared" si="1"/>
        <v>3</v>
      </c>
      <c r="O27" s="2" t="str">
        <f t="shared" si="2"/>
        <v>Uma vez por dia, a cada 7 dias, por um período de 30 dias</v>
      </c>
    </row>
    <row r="28" spans="1:15" x14ac:dyDescent="0.25">
      <c r="A28" s="2" t="s">
        <v>18</v>
      </c>
      <c r="B28" s="2" t="s">
        <v>50</v>
      </c>
      <c r="C28" s="2" t="s">
        <v>186</v>
      </c>
      <c r="D28" s="3">
        <v>5</v>
      </c>
      <c r="E28" s="3">
        <v>3</v>
      </c>
      <c r="F28" s="3">
        <v>5</v>
      </c>
      <c r="G28" s="2">
        <v>1</v>
      </c>
      <c r="H28" s="2" t="s">
        <v>20</v>
      </c>
      <c r="I28" s="2"/>
      <c r="J28" s="2"/>
      <c r="K28" s="2">
        <v>1</v>
      </c>
      <c r="L28" s="2" t="s">
        <v>20</v>
      </c>
      <c r="M28" s="9" t="str">
        <f t="shared" si="0"/>
        <v>CoA005-1d1d</v>
      </c>
      <c r="N28" s="9">
        <f t="shared" si="1"/>
        <v>3</v>
      </c>
      <c r="O28" s="2" t="str">
        <f t="shared" si="2"/>
        <v>Pelo menos uma vez</v>
      </c>
    </row>
    <row r="29" spans="1:15" x14ac:dyDescent="0.25">
      <c r="A29" s="2" t="s">
        <v>18</v>
      </c>
      <c r="B29" s="2" t="s">
        <v>50</v>
      </c>
      <c r="C29" s="2" t="s">
        <v>187</v>
      </c>
      <c r="D29" s="3">
        <v>5</v>
      </c>
      <c r="E29" s="3">
        <v>3</v>
      </c>
      <c r="F29" s="3">
        <v>6</v>
      </c>
      <c r="G29" s="2">
        <v>1</v>
      </c>
      <c r="H29" s="2" t="s">
        <v>20</v>
      </c>
      <c r="I29" s="2"/>
      <c r="J29" s="2"/>
      <c r="K29" s="2">
        <v>1</v>
      </c>
      <c r="L29" s="2" t="s">
        <v>20</v>
      </c>
      <c r="M29" s="9" t="str">
        <f t="shared" si="0"/>
        <v>CoA006-1d1d</v>
      </c>
      <c r="N29" s="9">
        <f t="shared" si="1"/>
        <v>3</v>
      </c>
      <c r="O29" s="2" t="str">
        <f t="shared" si="2"/>
        <v>Pelo menos uma vez</v>
      </c>
    </row>
    <row r="30" spans="1:15" x14ac:dyDescent="0.25">
      <c r="A30" s="2" t="s">
        <v>18</v>
      </c>
      <c r="B30" s="2" t="s">
        <v>50</v>
      </c>
      <c r="C30" s="2" t="s">
        <v>188</v>
      </c>
      <c r="D30" s="3">
        <v>5</v>
      </c>
      <c r="E30" s="3">
        <v>3</v>
      </c>
      <c r="F30" s="3">
        <v>7</v>
      </c>
      <c r="G30" s="2">
        <v>1</v>
      </c>
      <c r="H30" s="2" t="s">
        <v>20</v>
      </c>
      <c r="I30" s="2"/>
      <c r="J30" s="2"/>
      <c r="K30" s="2">
        <v>30</v>
      </c>
      <c r="L30" s="2" t="s">
        <v>20</v>
      </c>
      <c r="M30" s="9" t="str">
        <f t="shared" si="0"/>
        <v>CoA007-1d30d</v>
      </c>
      <c r="N30" s="9">
        <f t="shared" si="1"/>
        <v>3</v>
      </c>
      <c r="O30" s="2" t="str">
        <f t="shared" si="2"/>
        <v>Uma vez por dia por um período de 30 dias</v>
      </c>
    </row>
    <row r="31" spans="1:15" x14ac:dyDescent="0.25">
      <c r="A31" s="2" t="s">
        <v>18</v>
      </c>
      <c r="B31" s="2" t="s">
        <v>50</v>
      </c>
      <c r="C31" s="2" t="s">
        <v>189</v>
      </c>
      <c r="D31" s="3">
        <v>5</v>
      </c>
      <c r="E31" s="3">
        <v>3</v>
      </c>
      <c r="F31" s="3">
        <v>8</v>
      </c>
      <c r="G31" s="2">
        <v>1</v>
      </c>
      <c r="H31" s="2" t="s">
        <v>20</v>
      </c>
      <c r="I31" s="2"/>
      <c r="J31" s="2"/>
      <c r="K31" s="2">
        <v>1</v>
      </c>
      <c r="L31" s="2" t="s">
        <v>20</v>
      </c>
      <c r="M31" s="9" t="str">
        <f t="shared" si="0"/>
        <v>CoA008-1d1d</v>
      </c>
      <c r="N31" s="9">
        <f t="shared" si="1"/>
        <v>3</v>
      </c>
      <c r="O31" s="2" t="str">
        <f t="shared" si="2"/>
        <v>Pelo menos uma vez</v>
      </c>
    </row>
    <row r="32" spans="1:15" x14ac:dyDescent="0.25">
      <c r="A32" s="2" t="s">
        <v>18</v>
      </c>
      <c r="B32" s="2" t="s">
        <v>50</v>
      </c>
      <c r="C32" s="2" t="s">
        <v>190</v>
      </c>
      <c r="D32" s="3">
        <v>5</v>
      </c>
      <c r="E32" s="3">
        <v>3</v>
      </c>
      <c r="F32" s="3">
        <v>9</v>
      </c>
      <c r="G32" s="2">
        <v>1</v>
      </c>
      <c r="H32" s="2" t="s">
        <v>20</v>
      </c>
      <c r="I32" s="2"/>
      <c r="J32" s="2"/>
      <c r="K32" s="2">
        <v>1</v>
      </c>
      <c r="L32" s="2" t="s">
        <v>20</v>
      </c>
      <c r="M32" s="9" t="str">
        <f t="shared" si="0"/>
        <v>CoA009-1d1d</v>
      </c>
      <c r="N32" s="9">
        <f t="shared" si="1"/>
        <v>3</v>
      </c>
      <c r="O32" s="2" t="str">
        <f t="shared" si="2"/>
        <v>Pelo menos uma vez</v>
      </c>
    </row>
    <row r="33" spans="1:15" x14ac:dyDescent="0.25">
      <c r="A33" s="2" t="s">
        <v>18</v>
      </c>
      <c r="B33" s="2" t="s">
        <v>50</v>
      </c>
      <c r="C33" s="2" t="s">
        <v>191</v>
      </c>
      <c r="D33" s="3">
        <v>5</v>
      </c>
      <c r="E33" s="3">
        <v>3</v>
      </c>
      <c r="F33" s="3">
        <v>10</v>
      </c>
      <c r="G33" s="2">
        <v>1</v>
      </c>
      <c r="H33" s="2" t="s">
        <v>20</v>
      </c>
      <c r="I33" s="2">
        <v>30</v>
      </c>
      <c r="J33" s="2" t="s">
        <v>20</v>
      </c>
      <c r="K33" s="2">
        <v>90</v>
      </c>
      <c r="L33" s="2" t="s">
        <v>20</v>
      </c>
      <c r="M33" s="9" t="str">
        <f t="shared" si="0"/>
        <v>CoA010-1d90d</v>
      </c>
      <c r="N33" s="9">
        <f t="shared" si="1"/>
        <v>3</v>
      </c>
      <c r="O33" s="2" t="str">
        <f t="shared" si="2"/>
        <v>Uma vez por dia, a cada 30 dias, por um período de 90 dias</v>
      </c>
    </row>
    <row r="34" spans="1:15" x14ac:dyDescent="0.25">
      <c r="A34" s="2" t="s">
        <v>18</v>
      </c>
      <c r="B34" s="2" t="s">
        <v>50</v>
      </c>
      <c r="C34" s="2" t="s">
        <v>192</v>
      </c>
      <c r="D34" s="3">
        <v>5</v>
      </c>
      <c r="E34" s="3">
        <v>3</v>
      </c>
      <c r="F34" s="3">
        <v>11</v>
      </c>
      <c r="G34" s="2">
        <v>1</v>
      </c>
      <c r="H34" s="2" t="s">
        <v>20</v>
      </c>
      <c r="I34" s="2"/>
      <c r="J34" s="2"/>
      <c r="K34" s="2">
        <v>1</v>
      </c>
      <c r="L34" s="2" t="s">
        <v>20</v>
      </c>
      <c r="M34" s="9" t="str">
        <f t="shared" si="0"/>
        <v>CoA011-1d1d</v>
      </c>
      <c r="N34" s="9">
        <f t="shared" si="1"/>
        <v>3</v>
      </c>
      <c r="O34" s="2" t="str">
        <f t="shared" si="2"/>
        <v>Pelo menos uma vez</v>
      </c>
    </row>
    <row r="35" spans="1:15" x14ac:dyDescent="0.25">
      <c r="A35" s="2" t="s">
        <v>18</v>
      </c>
      <c r="B35" s="2" t="s">
        <v>50</v>
      </c>
      <c r="C35" s="2" t="s">
        <v>193</v>
      </c>
      <c r="D35" s="3">
        <v>5</v>
      </c>
      <c r="E35" s="3">
        <v>3</v>
      </c>
      <c r="F35" s="3">
        <v>12</v>
      </c>
      <c r="G35" s="2">
        <v>1</v>
      </c>
      <c r="H35" s="2" t="s">
        <v>20</v>
      </c>
      <c r="I35" s="2"/>
      <c r="J35" s="2"/>
      <c r="K35" s="2">
        <v>1</v>
      </c>
      <c r="L35" s="2" t="s">
        <v>20</v>
      </c>
      <c r="M35" s="9" t="str">
        <f t="shared" si="0"/>
        <v>CoA012-1d1d</v>
      </c>
      <c r="N35" s="9">
        <f t="shared" si="1"/>
        <v>3</v>
      </c>
      <c r="O35" s="2" t="str">
        <f t="shared" si="2"/>
        <v>Pelo menos uma vez</v>
      </c>
    </row>
    <row r="36" spans="1:15" x14ac:dyDescent="0.25">
      <c r="A36" s="2" t="s">
        <v>18</v>
      </c>
      <c r="B36" s="2" t="s">
        <v>50</v>
      </c>
      <c r="C36" s="2" t="s">
        <v>194</v>
      </c>
      <c r="D36" s="3">
        <v>5</v>
      </c>
      <c r="E36" s="3">
        <v>3</v>
      </c>
      <c r="F36" s="3">
        <v>13</v>
      </c>
      <c r="G36" s="2">
        <v>1</v>
      </c>
      <c r="H36" s="2" t="s">
        <v>20</v>
      </c>
      <c r="I36" s="2">
        <v>30</v>
      </c>
      <c r="J36" s="2" t="s">
        <v>20</v>
      </c>
      <c r="K36" s="2">
        <v>90</v>
      </c>
      <c r="L36" s="2" t="s">
        <v>20</v>
      </c>
      <c r="M36" s="9" t="str">
        <f t="shared" si="0"/>
        <v>CoA013-1d90d</v>
      </c>
      <c r="N36" s="9">
        <f t="shared" si="1"/>
        <v>3</v>
      </c>
      <c r="O36" s="2" t="str">
        <f t="shared" si="2"/>
        <v>Uma vez por dia, a cada 30 dias, por um período de 90 dias</v>
      </c>
    </row>
    <row r="37" spans="1:15" x14ac:dyDescent="0.25">
      <c r="A37" s="2" t="s">
        <v>18</v>
      </c>
      <c r="B37" s="2" t="s">
        <v>50</v>
      </c>
      <c r="C37" s="2" t="s">
        <v>195</v>
      </c>
      <c r="D37" s="3">
        <v>5</v>
      </c>
      <c r="E37" s="3">
        <v>3</v>
      </c>
      <c r="F37" s="3">
        <v>14</v>
      </c>
      <c r="G37" s="2">
        <v>1</v>
      </c>
      <c r="H37" s="2" t="s">
        <v>20</v>
      </c>
      <c r="I37" s="2">
        <v>21</v>
      </c>
      <c r="J37" s="2" t="s">
        <v>20</v>
      </c>
      <c r="K37" s="2">
        <v>21</v>
      </c>
      <c r="L37" s="2" t="s">
        <v>20</v>
      </c>
      <c r="M37" s="9" t="str">
        <f t="shared" si="0"/>
        <v>CoA014-1d21d</v>
      </c>
      <c r="N37" s="9">
        <f t="shared" si="1"/>
        <v>3</v>
      </c>
      <c r="O37" s="2" t="str">
        <f t="shared" si="2"/>
        <v>Uma vez por dia, a cada 21 dias, por um período de 21 dias</v>
      </c>
    </row>
    <row r="38" spans="1:15" x14ac:dyDescent="0.25">
      <c r="A38" s="2" t="s">
        <v>18</v>
      </c>
      <c r="B38" s="2" t="s">
        <v>50</v>
      </c>
      <c r="C38" s="2" t="s">
        <v>196</v>
      </c>
      <c r="D38" s="3">
        <v>5</v>
      </c>
      <c r="E38" s="3">
        <v>3</v>
      </c>
      <c r="F38" s="3">
        <v>15</v>
      </c>
      <c r="G38" s="2">
        <v>1</v>
      </c>
      <c r="H38" s="2" t="s">
        <v>20</v>
      </c>
      <c r="I38" s="2"/>
      <c r="J38" s="2"/>
      <c r="K38" s="2">
        <v>1</v>
      </c>
      <c r="L38" s="2" t="s">
        <v>20</v>
      </c>
      <c r="M38" s="9" t="str">
        <f t="shared" si="0"/>
        <v>CoA015-1d1d</v>
      </c>
      <c r="N38" s="9">
        <f t="shared" si="1"/>
        <v>3</v>
      </c>
      <c r="O38" s="2" t="str">
        <f t="shared" si="2"/>
        <v>Pelo menos uma vez</v>
      </c>
    </row>
    <row r="40" spans="1:15" x14ac:dyDescent="0.25">
      <c r="A40" s="4"/>
      <c r="B40" s="4"/>
    </row>
  </sheetData>
  <dataValidations count="1">
    <dataValidation type="whole" operator="greaterThanOrEqual" allowBlank="1" showInputMessage="1" showErrorMessage="1" errorTitle="Número inválido" error="Informe um número inteiro maior ou igual a 0" sqref="G2:G1037 K2:K1037 I2:I1037" xr:uid="{00000000-0002-0000-0600-000003000000}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Unidade inválida" error="Use apenas: d (dia) ou s (semana)" xr:uid="{00000000-0002-0000-0600-000000000000}">
          <x14:formula1>
            <xm:f>_DV!$A$1:$A$2</xm:f>
          </x14:formula1>
          <xm:sqref>H2:H1037 L2:L1037 J2:J1037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40"/>
  <sheetViews>
    <sheetView zoomScale="85" zoomScaleNormal="85" workbookViewId="0">
      <pane ySplit="1" topLeftCell="A26" activePane="bottomLeft" state="frozen"/>
      <selection pane="bottomLeft" activeCell="C29" sqref="C29"/>
    </sheetView>
  </sheetViews>
  <sheetFormatPr defaultRowHeight="15" x14ac:dyDescent="0.25"/>
  <cols>
    <col min="1" max="1" width="6.5703125" bestFit="1" customWidth="1"/>
    <col min="2" max="2" width="9.5703125" bestFit="1" customWidth="1"/>
    <col min="3" max="3" width="63.42578125" customWidth="1"/>
    <col min="4" max="7" width="3.7109375" style="10" bestFit="1" customWidth="1"/>
    <col min="8" max="8" width="3.7109375" style="10" customWidth="1"/>
    <col min="9" max="9" width="3.7109375" style="10" bestFit="1" customWidth="1"/>
    <col min="10" max="10" width="3.7109375" style="10" customWidth="1"/>
    <col min="11" max="11" width="3.7109375" style="10" bestFit="1" customWidth="1"/>
    <col min="12" max="12" width="3.7109375" style="10" customWidth="1"/>
    <col min="13" max="13" width="14.42578125" bestFit="1" customWidth="1"/>
    <col min="14" max="14" width="3.7109375" style="10" bestFit="1" customWidth="1"/>
    <col min="15" max="15" width="39.28515625" bestFit="1" customWidth="1"/>
  </cols>
  <sheetData>
    <row r="1" spans="1:17" s="6" customFormat="1" ht="108.75" x14ac:dyDescent="0.25">
      <c r="A1" s="5" t="s">
        <v>22</v>
      </c>
      <c r="B1" s="5" t="s">
        <v>301</v>
      </c>
      <c r="C1" s="5" t="s">
        <v>23</v>
      </c>
      <c r="D1" s="7" t="s">
        <v>24</v>
      </c>
      <c r="E1" s="7" t="s">
        <v>302</v>
      </c>
      <c r="F1" s="7" t="s">
        <v>25</v>
      </c>
      <c r="G1" s="7" t="s">
        <v>26</v>
      </c>
      <c r="H1" s="7" t="s">
        <v>27</v>
      </c>
      <c r="I1" s="7" t="s">
        <v>305</v>
      </c>
      <c r="J1" s="7" t="s">
        <v>306</v>
      </c>
      <c r="K1" s="7" t="s">
        <v>28</v>
      </c>
      <c r="L1" s="7" t="s">
        <v>29</v>
      </c>
      <c r="M1" s="13" t="s">
        <v>30</v>
      </c>
      <c r="N1" s="13" t="s">
        <v>31</v>
      </c>
      <c r="O1" s="13" t="s">
        <v>307</v>
      </c>
      <c r="P1" s="16"/>
      <c r="Q1" s="16"/>
    </row>
    <row r="2" spans="1:17" x14ac:dyDescent="0.25">
      <c r="A2" s="2" t="s">
        <v>19</v>
      </c>
      <c r="B2" s="2" t="s">
        <v>32</v>
      </c>
      <c r="C2" s="2" t="s">
        <v>290</v>
      </c>
      <c r="D2" s="8">
        <v>2</v>
      </c>
      <c r="E2" s="8">
        <v>1</v>
      </c>
      <c r="F2" s="8">
        <v>1</v>
      </c>
      <c r="G2" s="9">
        <v>1</v>
      </c>
      <c r="H2" s="9" t="s">
        <v>20</v>
      </c>
      <c r="I2" s="9"/>
      <c r="J2" s="9"/>
      <c r="K2" s="9">
        <v>14</v>
      </c>
      <c r="L2" s="9" t="s">
        <v>20</v>
      </c>
      <c r="M2" s="9" t="str">
        <f>LEFT(A2,2)&amp;LEFT(B2,1)&amp;TEXT(F2,"000")&amp;"-"&amp;IF(
  AND(G2="",H2="",K2="",L2=""),
  "0d0d",
  TEXT(G2,"0")&amp;LOWER(H2)&amp;TEXT(K2,"0")&amp;LOWER(L2)
)</f>
        <v>IgB001-1d14d</v>
      </c>
      <c r="N2" s="9">
        <f>IF(B2="Básico",1,IF(B2="Desafio",2,IF(B2="Avançado",3)))</f>
        <v>1</v>
      </c>
      <c r="O2" s="2" t="str">
        <f>IF(
  AND(G2="",H2="",I2="",J2="",K2="",L2=""),
  "Fique atento para a primeira oportunidade que surgir",
  IF(AND(G2=0,LOWER(H2)="d",K2=0,LOWER(L2)="d"),
     "Fique atento para a primeira oportunidade que surgir",
     IF(AND(G2=1,LOWER(H2)="d",K2=1,LOWER(L2)="d"),
        "Pelo menos uma vez",
        IF(G2=0,"O dia inteiro",IF(G2=1,"Uma vez",TEXT(G2,"0")&amp;" vezes")&amp;" por "&amp;IF(LOWER(H2)="d","dia","semana"))
        &amp;IF(AND(ISNUMBER(I2),I2&gt;0),", a cada "&amp;TEXT(I2,"0")&amp;" "&amp;IF(I2=1,IF(LOWER(J2)="d","dia","semana"),IF(LOWER(J2)="d","dias","semanas"))&amp;",","")
        &amp;" por um período de "&amp;TEXT(K2,"0")&amp;" "&amp;IF(K2=1,IF(LOWER(L2)="d","dia","semana"),IF(LOWER(L2)="d","dias","semanas"))
     )
  )
)</f>
        <v>Uma vez por dia por um período de 14 dias</v>
      </c>
    </row>
    <row r="3" spans="1:17" x14ac:dyDescent="0.25">
      <c r="A3" s="2" t="s">
        <v>19</v>
      </c>
      <c r="B3" s="2" t="s">
        <v>32</v>
      </c>
      <c r="C3" s="2" t="s">
        <v>197</v>
      </c>
      <c r="D3" s="8">
        <v>2</v>
      </c>
      <c r="E3" s="8">
        <v>1</v>
      </c>
      <c r="F3" s="8">
        <v>2</v>
      </c>
      <c r="G3" s="9">
        <v>1</v>
      </c>
      <c r="H3" s="9" t="s">
        <v>20</v>
      </c>
      <c r="I3" s="9">
        <v>7</v>
      </c>
      <c r="J3" s="9" t="s">
        <v>20</v>
      </c>
      <c r="K3" s="9">
        <v>14</v>
      </c>
      <c r="L3" s="9" t="s">
        <v>20</v>
      </c>
      <c r="M3" s="9" t="str">
        <f t="shared" ref="M3:M38" si="0">LEFT(A3,2)&amp;LEFT(B3,1)&amp;TEXT(F3,"000")&amp;"-"&amp;IF(
  AND(G3="",H3="",K3="",L3=""),
  "0d0d",
  TEXT(G3,"0")&amp;LOWER(H3)&amp;TEXT(K3,"0")&amp;LOWER(L3)
)</f>
        <v>IgB002-1d14d</v>
      </c>
      <c r="N3" s="9">
        <f t="shared" ref="N3:N38" si="1">IF(B3="Básico",1,IF(B3="Desafio",2,IF(B3="Avançado",3)))</f>
        <v>1</v>
      </c>
      <c r="O3" s="2" t="str">
        <f t="shared" ref="O3:O38" si="2">IF(
  AND(G3="",H3="",I3="",J3="",K3="",L3=""),
  "Fique atento para a primeira oportunidade que surgir",
  IF(AND(G3=0,LOWER(H3)="d",K3=0,LOWER(L3)="d"),
     "Fique atento para a primeira oportunidade que surgir",
     IF(AND(G3=1,LOWER(H3)="d",K3=1,LOWER(L3)="d"),
        "Pelo menos uma vez",
        IF(G3=0,"O dia inteiro",IF(G3=1,"Uma vez",TEXT(G3,"0")&amp;" vezes")&amp;" por "&amp;IF(LOWER(H3)="d","dia","semana"))
        &amp;IF(AND(ISNUMBER(I3),I3&gt;0),", a cada "&amp;TEXT(I3,"0")&amp;" "&amp;IF(I3=1,IF(LOWER(J3)="d","dia","semana"),IF(LOWER(J3)="d","dias","semanas"))&amp;",","")
        &amp;" por um período de "&amp;TEXT(K3,"0")&amp;" "&amp;IF(K3=1,IF(LOWER(L3)="d","dia","semana"),IF(LOWER(L3)="d","dias","semanas"))
     )
  )
)</f>
        <v>Uma vez por dia, a cada 7 dias, por um período de 14 dias</v>
      </c>
    </row>
    <row r="4" spans="1:17" x14ac:dyDescent="0.25">
      <c r="A4" s="2" t="s">
        <v>19</v>
      </c>
      <c r="B4" s="2" t="s">
        <v>32</v>
      </c>
      <c r="C4" s="2" t="s">
        <v>291</v>
      </c>
      <c r="D4" s="8">
        <v>2</v>
      </c>
      <c r="E4" s="8">
        <v>1</v>
      </c>
      <c r="F4" s="8">
        <v>3</v>
      </c>
      <c r="G4" s="9">
        <v>1</v>
      </c>
      <c r="H4" s="9" t="s">
        <v>20</v>
      </c>
      <c r="I4" s="9">
        <v>7</v>
      </c>
      <c r="J4" s="9" t="s">
        <v>20</v>
      </c>
      <c r="K4" s="9">
        <v>14</v>
      </c>
      <c r="L4" s="9" t="s">
        <v>20</v>
      </c>
      <c r="M4" s="9" t="str">
        <f t="shared" si="0"/>
        <v>IgB003-1d14d</v>
      </c>
      <c r="N4" s="9">
        <f t="shared" si="1"/>
        <v>1</v>
      </c>
      <c r="O4" s="2" t="str">
        <f t="shared" si="2"/>
        <v>Uma vez por dia, a cada 7 dias, por um período de 14 dias</v>
      </c>
    </row>
    <row r="5" spans="1:17" x14ac:dyDescent="0.25">
      <c r="A5" s="2" t="s">
        <v>19</v>
      </c>
      <c r="B5" s="2" t="s">
        <v>32</v>
      </c>
      <c r="C5" s="2" t="s">
        <v>198</v>
      </c>
      <c r="D5" s="8">
        <v>2</v>
      </c>
      <c r="E5" s="8">
        <v>1</v>
      </c>
      <c r="F5" s="8">
        <v>4</v>
      </c>
      <c r="G5" s="9">
        <v>1</v>
      </c>
      <c r="H5" s="9" t="s">
        <v>20</v>
      </c>
      <c r="I5" s="9"/>
      <c r="J5" s="9"/>
      <c r="K5" s="9">
        <v>1</v>
      </c>
      <c r="L5" s="9" t="s">
        <v>20</v>
      </c>
      <c r="M5" s="9" t="str">
        <f t="shared" si="0"/>
        <v>IgB004-1d1d</v>
      </c>
      <c r="N5" s="9">
        <f t="shared" si="1"/>
        <v>1</v>
      </c>
      <c r="O5" s="2" t="str">
        <f t="shared" si="2"/>
        <v>Pelo menos uma vez</v>
      </c>
    </row>
    <row r="6" spans="1:17" x14ac:dyDescent="0.25">
      <c r="A6" s="2" t="s">
        <v>19</v>
      </c>
      <c r="B6" s="2" t="s">
        <v>32</v>
      </c>
      <c r="C6" s="2" t="s">
        <v>199</v>
      </c>
      <c r="D6" s="8">
        <v>2</v>
      </c>
      <c r="E6" s="8">
        <v>1</v>
      </c>
      <c r="F6" s="8">
        <v>5</v>
      </c>
      <c r="G6" s="9">
        <v>1</v>
      </c>
      <c r="H6" s="9" t="s">
        <v>20</v>
      </c>
      <c r="I6" s="9"/>
      <c r="J6" s="9"/>
      <c r="K6" s="9">
        <v>1</v>
      </c>
      <c r="L6" s="9" t="s">
        <v>20</v>
      </c>
      <c r="M6" s="9" t="str">
        <f t="shared" si="0"/>
        <v>IgB005-1d1d</v>
      </c>
      <c r="N6" s="9">
        <f t="shared" si="1"/>
        <v>1</v>
      </c>
      <c r="O6" s="2" t="str">
        <f t="shared" si="2"/>
        <v>Pelo menos uma vez</v>
      </c>
    </row>
    <row r="7" spans="1:17" x14ac:dyDescent="0.25">
      <c r="A7" s="2" t="s">
        <v>19</v>
      </c>
      <c r="B7" s="2" t="s">
        <v>32</v>
      </c>
      <c r="C7" s="2" t="s">
        <v>200</v>
      </c>
      <c r="D7" s="8">
        <v>2</v>
      </c>
      <c r="E7" s="8">
        <v>1</v>
      </c>
      <c r="F7" s="8">
        <v>6</v>
      </c>
      <c r="G7" s="9">
        <v>1</v>
      </c>
      <c r="H7" s="9" t="s">
        <v>20</v>
      </c>
      <c r="I7" s="9"/>
      <c r="J7" s="9"/>
      <c r="K7" s="9">
        <v>1</v>
      </c>
      <c r="L7" s="9" t="s">
        <v>20</v>
      </c>
      <c r="M7" s="9" t="str">
        <f t="shared" si="0"/>
        <v>IgB006-1d1d</v>
      </c>
      <c r="N7" s="9">
        <f t="shared" si="1"/>
        <v>1</v>
      </c>
      <c r="O7" s="2" t="str">
        <f t="shared" si="2"/>
        <v>Pelo menos uma vez</v>
      </c>
    </row>
    <row r="8" spans="1:17" x14ac:dyDescent="0.25">
      <c r="A8" s="2" t="s">
        <v>19</v>
      </c>
      <c r="B8" s="2" t="s">
        <v>32</v>
      </c>
      <c r="C8" s="2" t="s">
        <v>201</v>
      </c>
      <c r="D8" s="8">
        <v>2</v>
      </c>
      <c r="E8" s="8">
        <v>1</v>
      </c>
      <c r="F8" s="8">
        <v>7</v>
      </c>
      <c r="G8" s="9">
        <v>1</v>
      </c>
      <c r="H8" s="9" t="s">
        <v>20</v>
      </c>
      <c r="I8" s="9"/>
      <c r="J8" s="9"/>
      <c r="K8" s="9">
        <v>1</v>
      </c>
      <c r="L8" s="9" t="s">
        <v>20</v>
      </c>
      <c r="M8" s="9" t="str">
        <f t="shared" si="0"/>
        <v>IgB007-1d1d</v>
      </c>
      <c r="N8" s="9">
        <f t="shared" si="1"/>
        <v>1</v>
      </c>
      <c r="O8" s="2" t="str">
        <f t="shared" si="2"/>
        <v>Pelo menos uma vez</v>
      </c>
    </row>
    <row r="9" spans="1:17" x14ac:dyDescent="0.25">
      <c r="A9" s="2" t="s">
        <v>19</v>
      </c>
      <c r="B9" s="2" t="s">
        <v>32</v>
      </c>
      <c r="C9" s="2" t="s">
        <v>202</v>
      </c>
      <c r="D9" s="8">
        <v>2</v>
      </c>
      <c r="E9" s="8">
        <v>1</v>
      </c>
      <c r="F9" s="8">
        <v>8</v>
      </c>
      <c r="G9" s="9">
        <v>1</v>
      </c>
      <c r="H9" s="9" t="s">
        <v>20</v>
      </c>
      <c r="I9" s="9"/>
      <c r="J9" s="9"/>
      <c r="K9" s="9">
        <v>1</v>
      </c>
      <c r="L9" s="9" t="s">
        <v>20</v>
      </c>
      <c r="M9" s="9" t="str">
        <f t="shared" si="0"/>
        <v>IgB008-1d1d</v>
      </c>
      <c r="N9" s="9">
        <f t="shared" si="1"/>
        <v>1</v>
      </c>
      <c r="O9" s="2" t="str">
        <f t="shared" si="2"/>
        <v>Pelo menos uma vez</v>
      </c>
    </row>
    <row r="10" spans="1:17" x14ac:dyDescent="0.25">
      <c r="A10" s="2" t="s">
        <v>19</v>
      </c>
      <c r="B10" s="2" t="s">
        <v>32</v>
      </c>
      <c r="C10" s="2" t="s">
        <v>203</v>
      </c>
      <c r="D10" s="8">
        <v>2</v>
      </c>
      <c r="E10" s="8">
        <v>1</v>
      </c>
      <c r="F10" s="8">
        <v>9</v>
      </c>
      <c r="G10" s="9">
        <v>1</v>
      </c>
      <c r="H10" s="9" t="s">
        <v>20</v>
      </c>
      <c r="I10" s="9"/>
      <c r="J10" s="9"/>
      <c r="K10" s="9">
        <v>1</v>
      </c>
      <c r="L10" s="9" t="s">
        <v>20</v>
      </c>
      <c r="M10" s="9" t="str">
        <f t="shared" si="0"/>
        <v>IgB009-1d1d</v>
      </c>
      <c r="N10" s="9">
        <f t="shared" si="1"/>
        <v>1</v>
      </c>
      <c r="O10" s="2" t="str">
        <f t="shared" si="2"/>
        <v>Pelo menos uma vez</v>
      </c>
    </row>
    <row r="11" spans="1:17" x14ac:dyDescent="0.25">
      <c r="A11" s="2" t="s">
        <v>19</v>
      </c>
      <c r="B11" s="2" t="s">
        <v>32</v>
      </c>
      <c r="C11" s="2" t="s">
        <v>204</v>
      </c>
      <c r="D11" s="8">
        <v>2</v>
      </c>
      <c r="E11" s="8">
        <v>1</v>
      </c>
      <c r="F11" s="8">
        <v>10</v>
      </c>
      <c r="G11" s="9">
        <v>1</v>
      </c>
      <c r="H11" s="9" t="s">
        <v>20</v>
      </c>
      <c r="I11" s="9">
        <v>7</v>
      </c>
      <c r="J11" s="9" t="s">
        <v>20</v>
      </c>
      <c r="K11" s="9">
        <v>21</v>
      </c>
      <c r="L11" s="9" t="s">
        <v>20</v>
      </c>
      <c r="M11" s="9" t="str">
        <f t="shared" si="0"/>
        <v>IgB010-1d21d</v>
      </c>
      <c r="N11" s="9">
        <f t="shared" si="1"/>
        <v>1</v>
      </c>
      <c r="O11" s="2" t="str">
        <f t="shared" si="2"/>
        <v>Uma vez por dia, a cada 7 dias, por um período de 21 dias</v>
      </c>
    </row>
    <row r="12" spans="1:17" x14ac:dyDescent="0.25">
      <c r="A12" s="2" t="s">
        <v>19</v>
      </c>
      <c r="B12" s="2" t="s">
        <v>41</v>
      </c>
      <c r="C12" s="2" t="s">
        <v>205</v>
      </c>
      <c r="D12" s="8">
        <v>2</v>
      </c>
      <c r="E12" s="8">
        <v>2</v>
      </c>
      <c r="F12" s="8">
        <v>1</v>
      </c>
      <c r="G12" s="9">
        <v>1</v>
      </c>
      <c r="H12" s="9" t="s">
        <v>20</v>
      </c>
      <c r="I12" s="9"/>
      <c r="J12" s="9"/>
      <c r="K12" s="9">
        <v>1</v>
      </c>
      <c r="L12" s="9" t="s">
        <v>20</v>
      </c>
      <c r="M12" s="9" t="str">
        <f t="shared" si="0"/>
        <v>IgD001-1d1d</v>
      </c>
      <c r="N12" s="9">
        <f t="shared" si="1"/>
        <v>2</v>
      </c>
      <c r="O12" s="2" t="str">
        <f t="shared" si="2"/>
        <v>Pelo menos uma vez</v>
      </c>
    </row>
    <row r="13" spans="1:17" x14ac:dyDescent="0.25">
      <c r="A13" s="2" t="s">
        <v>19</v>
      </c>
      <c r="B13" s="2" t="s">
        <v>41</v>
      </c>
      <c r="C13" s="2" t="s">
        <v>206</v>
      </c>
      <c r="D13" s="8">
        <v>2</v>
      </c>
      <c r="E13" s="8">
        <v>2</v>
      </c>
      <c r="F13" s="8">
        <v>2</v>
      </c>
      <c r="G13" s="9">
        <v>1</v>
      </c>
      <c r="H13" s="9" t="s">
        <v>20</v>
      </c>
      <c r="I13" s="9"/>
      <c r="J13" s="9"/>
      <c r="K13" s="9">
        <v>1</v>
      </c>
      <c r="L13" s="9" t="s">
        <v>20</v>
      </c>
      <c r="M13" s="9" t="str">
        <f t="shared" si="0"/>
        <v>IgD002-1d1d</v>
      </c>
      <c r="N13" s="9">
        <f t="shared" si="1"/>
        <v>2</v>
      </c>
      <c r="O13" s="2" t="str">
        <f t="shared" si="2"/>
        <v>Pelo menos uma vez</v>
      </c>
    </row>
    <row r="14" spans="1:17" x14ac:dyDescent="0.25">
      <c r="A14" s="2" t="s">
        <v>19</v>
      </c>
      <c r="B14" s="2" t="s">
        <v>41</v>
      </c>
      <c r="C14" s="2" t="s">
        <v>207</v>
      </c>
      <c r="D14" s="8">
        <v>2</v>
      </c>
      <c r="E14" s="8">
        <v>2</v>
      </c>
      <c r="F14" s="8">
        <v>3</v>
      </c>
      <c r="G14" s="9">
        <v>1</v>
      </c>
      <c r="H14" s="9" t="s">
        <v>20</v>
      </c>
      <c r="I14" s="9"/>
      <c r="J14" s="9"/>
      <c r="K14" s="9">
        <v>1</v>
      </c>
      <c r="L14" s="9" t="s">
        <v>20</v>
      </c>
      <c r="M14" s="9" t="str">
        <f t="shared" si="0"/>
        <v>IgD003-1d1d</v>
      </c>
      <c r="N14" s="9">
        <f t="shared" si="1"/>
        <v>2</v>
      </c>
      <c r="O14" s="2" t="str">
        <f t="shared" si="2"/>
        <v>Pelo menos uma vez</v>
      </c>
    </row>
    <row r="15" spans="1:17" x14ac:dyDescent="0.25">
      <c r="A15" s="2" t="s">
        <v>19</v>
      </c>
      <c r="B15" s="2" t="s">
        <v>41</v>
      </c>
      <c r="C15" s="2" t="s">
        <v>208</v>
      </c>
      <c r="D15" s="8">
        <v>2</v>
      </c>
      <c r="E15" s="8">
        <v>2</v>
      </c>
      <c r="F15" s="8">
        <v>4</v>
      </c>
      <c r="G15" s="9">
        <v>1</v>
      </c>
      <c r="H15" s="9" t="s">
        <v>20</v>
      </c>
      <c r="I15" s="9"/>
      <c r="J15" s="9"/>
      <c r="K15" s="9">
        <v>1</v>
      </c>
      <c r="L15" s="9" t="s">
        <v>20</v>
      </c>
      <c r="M15" s="9" t="str">
        <f t="shared" si="0"/>
        <v>IgD004-1d1d</v>
      </c>
      <c r="N15" s="9">
        <f t="shared" si="1"/>
        <v>2</v>
      </c>
      <c r="O15" s="2" t="str">
        <f t="shared" si="2"/>
        <v>Pelo menos uma vez</v>
      </c>
    </row>
    <row r="16" spans="1:17" x14ac:dyDescent="0.25">
      <c r="A16" s="2" t="s">
        <v>19</v>
      </c>
      <c r="B16" s="2" t="s">
        <v>41</v>
      </c>
      <c r="C16" s="2" t="s">
        <v>209</v>
      </c>
      <c r="D16" s="8">
        <v>2</v>
      </c>
      <c r="E16" s="8">
        <v>2</v>
      </c>
      <c r="F16" s="8">
        <v>5</v>
      </c>
      <c r="G16" s="9">
        <v>1</v>
      </c>
      <c r="H16" s="9" t="s">
        <v>20</v>
      </c>
      <c r="I16" s="9"/>
      <c r="J16" s="9"/>
      <c r="K16" s="9">
        <v>1</v>
      </c>
      <c r="L16" s="9" t="s">
        <v>20</v>
      </c>
      <c r="M16" s="9" t="str">
        <f t="shared" si="0"/>
        <v>IgD005-1d1d</v>
      </c>
      <c r="N16" s="9">
        <f t="shared" si="1"/>
        <v>2</v>
      </c>
      <c r="O16" s="2" t="str">
        <f t="shared" si="2"/>
        <v>Pelo menos uma vez</v>
      </c>
    </row>
    <row r="17" spans="1:15" x14ac:dyDescent="0.25">
      <c r="A17" s="2" t="s">
        <v>19</v>
      </c>
      <c r="B17" s="2" t="s">
        <v>41</v>
      </c>
      <c r="C17" s="2" t="s">
        <v>210</v>
      </c>
      <c r="D17" s="8">
        <v>2</v>
      </c>
      <c r="E17" s="8">
        <v>2</v>
      </c>
      <c r="F17" s="8">
        <v>6</v>
      </c>
      <c r="G17" s="9">
        <v>1</v>
      </c>
      <c r="H17" s="9" t="s">
        <v>20</v>
      </c>
      <c r="I17" s="9">
        <v>7</v>
      </c>
      <c r="J17" s="9" t="s">
        <v>20</v>
      </c>
      <c r="K17" s="9">
        <v>30</v>
      </c>
      <c r="L17" s="9" t="s">
        <v>20</v>
      </c>
      <c r="M17" s="9" t="str">
        <f t="shared" si="0"/>
        <v>IgD006-1d30d</v>
      </c>
      <c r="N17" s="9">
        <f t="shared" si="1"/>
        <v>2</v>
      </c>
      <c r="O17" s="2" t="str">
        <f t="shared" si="2"/>
        <v>Uma vez por dia, a cada 7 dias, por um período de 30 dias</v>
      </c>
    </row>
    <row r="18" spans="1:15" x14ac:dyDescent="0.25">
      <c r="A18" s="2" t="s">
        <v>19</v>
      </c>
      <c r="B18" s="2" t="s">
        <v>41</v>
      </c>
      <c r="C18" s="2" t="s">
        <v>211</v>
      </c>
      <c r="D18" s="8">
        <v>2</v>
      </c>
      <c r="E18" s="8">
        <v>2</v>
      </c>
      <c r="F18" s="8">
        <v>7</v>
      </c>
      <c r="G18" s="9">
        <v>1</v>
      </c>
      <c r="H18" s="9" t="s">
        <v>20</v>
      </c>
      <c r="I18" s="9"/>
      <c r="J18" s="9"/>
      <c r="K18" s="9">
        <v>7</v>
      </c>
      <c r="L18" s="9" t="s">
        <v>20</v>
      </c>
      <c r="M18" s="9" t="str">
        <f t="shared" si="0"/>
        <v>IgD007-1d7d</v>
      </c>
      <c r="N18" s="9">
        <f t="shared" si="1"/>
        <v>2</v>
      </c>
      <c r="O18" s="2" t="str">
        <f t="shared" si="2"/>
        <v>Uma vez por dia por um período de 7 dias</v>
      </c>
    </row>
    <row r="19" spans="1:15" x14ac:dyDescent="0.25">
      <c r="A19" s="2" t="s">
        <v>19</v>
      </c>
      <c r="B19" s="2" t="s">
        <v>41</v>
      </c>
      <c r="C19" s="2" t="s">
        <v>212</v>
      </c>
      <c r="D19" s="8">
        <v>2</v>
      </c>
      <c r="E19" s="8">
        <v>2</v>
      </c>
      <c r="F19" s="8">
        <v>8</v>
      </c>
      <c r="G19" s="9">
        <v>1</v>
      </c>
      <c r="H19" s="9" t="s">
        <v>20</v>
      </c>
      <c r="I19" s="9">
        <v>3</v>
      </c>
      <c r="J19" s="9" t="s">
        <v>20</v>
      </c>
      <c r="K19" s="9">
        <v>7</v>
      </c>
      <c r="L19" s="9" t="s">
        <v>20</v>
      </c>
      <c r="M19" s="9" t="str">
        <f t="shared" si="0"/>
        <v>IgD008-1d7d</v>
      </c>
      <c r="N19" s="9">
        <f t="shared" si="1"/>
        <v>2</v>
      </c>
      <c r="O19" s="2" t="str">
        <f t="shared" si="2"/>
        <v>Uma vez por dia, a cada 3 dias, por um período de 7 dias</v>
      </c>
    </row>
    <row r="20" spans="1:15" x14ac:dyDescent="0.25">
      <c r="A20" s="2" t="s">
        <v>19</v>
      </c>
      <c r="B20" s="2" t="s">
        <v>41</v>
      </c>
      <c r="C20" s="2" t="s">
        <v>213</v>
      </c>
      <c r="D20" s="8">
        <v>2</v>
      </c>
      <c r="E20" s="8">
        <v>2</v>
      </c>
      <c r="F20" s="8">
        <v>9</v>
      </c>
      <c r="G20" s="9">
        <v>1</v>
      </c>
      <c r="H20" s="9" t="s">
        <v>20</v>
      </c>
      <c r="I20" s="9"/>
      <c r="J20" s="9"/>
      <c r="K20" s="9">
        <v>1</v>
      </c>
      <c r="L20" s="9" t="s">
        <v>20</v>
      </c>
      <c r="M20" s="9" t="str">
        <f t="shared" si="0"/>
        <v>IgD009-1d1d</v>
      </c>
      <c r="N20" s="9">
        <f t="shared" si="1"/>
        <v>2</v>
      </c>
      <c r="O20" s="2" t="str">
        <f t="shared" si="2"/>
        <v>Pelo menos uma vez</v>
      </c>
    </row>
    <row r="21" spans="1:15" x14ac:dyDescent="0.25">
      <c r="A21" s="2" t="s">
        <v>19</v>
      </c>
      <c r="B21" s="2" t="s">
        <v>41</v>
      </c>
      <c r="C21" s="2" t="s">
        <v>292</v>
      </c>
      <c r="D21" s="8">
        <v>2</v>
      </c>
      <c r="E21" s="8">
        <v>2</v>
      </c>
      <c r="F21" s="8">
        <v>10</v>
      </c>
      <c r="G21" s="9">
        <v>1</v>
      </c>
      <c r="H21" s="9" t="s">
        <v>20</v>
      </c>
      <c r="I21" s="9"/>
      <c r="J21" s="9"/>
      <c r="K21" s="9">
        <v>1</v>
      </c>
      <c r="L21" s="9" t="s">
        <v>20</v>
      </c>
      <c r="M21" s="9" t="str">
        <f t="shared" si="0"/>
        <v>IgD010-1d1d</v>
      </c>
      <c r="N21" s="9">
        <f t="shared" si="1"/>
        <v>2</v>
      </c>
      <c r="O21" s="2" t="str">
        <f t="shared" si="2"/>
        <v>Pelo menos uma vez</v>
      </c>
    </row>
    <row r="22" spans="1:15" x14ac:dyDescent="0.25">
      <c r="A22" s="2" t="s">
        <v>19</v>
      </c>
      <c r="B22" s="2" t="s">
        <v>41</v>
      </c>
      <c r="C22" s="2" t="s">
        <v>214</v>
      </c>
      <c r="D22" s="8">
        <v>2</v>
      </c>
      <c r="E22" s="8">
        <v>2</v>
      </c>
      <c r="F22" s="8">
        <v>11</v>
      </c>
      <c r="G22" s="9">
        <v>1</v>
      </c>
      <c r="H22" s="9" t="s">
        <v>20</v>
      </c>
      <c r="I22" s="9"/>
      <c r="J22" s="9"/>
      <c r="K22" s="9">
        <v>1</v>
      </c>
      <c r="L22" s="9" t="s">
        <v>20</v>
      </c>
      <c r="M22" s="9" t="str">
        <f t="shared" si="0"/>
        <v>IgD011-1d1d</v>
      </c>
      <c r="N22" s="9">
        <f t="shared" si="1"/>
        <v>2</v>
      </c>
      <c r="O22" s="2" t="str">
        <f t="shared" si="2"/>
        <v>Pelo menos uma vez</v>
      </c>
    </row>
    <row r="23" spans="1:15" x14ac:dyDescent="0.25">
      <c r="A23" s="2" t="s">
        <v>19</v>
      </c>
      <c r="B23" s="2" t="s">
        <v>41</v>
      </c>
      <c r="C23" s="2" t="s">
        <v>215</v>
      </c>
      <c r="D23" s="8">
        <v>2</v>
      </c>
      <c r="E23" s="8">
        <v>2</v>
      </c>
      <c r="F23" s="8">
        <v>12</v>
      </c>
      <c r="G23" s="9">
        <v>1</v>
      </c>
      <c r="H23" s="9" t="s">
        <v>20</v>
      </c>
      <c r="I23" s="9"/>
      <c r="J23" s="9"/>
      <c r="K23" s="9">
        <v>1</v>
      </c>
      <c r="L23" s="9" t="s">
        <v>20</v>
      </c>
      <c r="M23" s="9" t="str">
        <f t="shared" si="0"/>
        <v>IgD012-1d1d</v>
      </c>
      <c r="N23" s="9">
        <f t="shared" si="1"/>
        <v>2</v>
      </c>
      <c r="O23" s="2" t="str">
        <f t="shared" si="2"/>
        <v>Pelo menos uma vez</v>
      </c>
    </row>
    <row r="24" spans="1:15" x14ac:dyDescent="0.25">
      <c r="A24" s="2" t="s">
        <v>19</v>
      </c>
      <c r="B24" s="2" t="s">
        <v>50</v>
      </c>
      <c r="C24" s="2" t="s">
        <v>216</v>
      </c>
      <c r="D24" s="8">
        <v>2</v>
      </c>
      <c r="E24" s="8">
        <v>3</v>
      </c>
      <c r="F24" s="8">
        <v>1</v>
      </c>
      <c r="G24" s="9">
        <v>1</v>
      </c>
      <c r="H24" s="9" t="s">
        <v>20</v>
      </c>
      <c r="I24" s="9">
        <v>7</v>
      </c>
      <c r="J24" s="9" t="s">
        <v>20</v>
      </c>
      <c r="K24" s="9">
        <v>30</v>
      </c>
      <c r="L24" s="9" t="s">
        <v>20</v>
      </c>
      <c r="M24" s="9" t="str">
        <f t="shared" si="0"/>
        <v>IgA001-1d30d</v>
      </c>
      <c r="N24" s="9">
        <f t="shared" si="1"/>
        <v>3</v>
      </c>
      <c r="O24" s="2" t="str">
        <f t="shared" si="2"/>
        <v>Uma vez por dia, a cada 7 dias, por um período de 30 dias</v>
      </c>
    </row>
    <row r="25" spans="1:15" x14ac:dyDescent="0.25">
      <c r="A25" s="2" t="s">
        <v>19</v>
      </c>
      <c r="B25" s="2" t="s">
        <v>50</v>
      </c>
      <c r="C25" s="2" t="s">
        <v>217</v>
      </c>
      <c r="D25" s="8">
        <v>2</v>
      </c>
      <c r="E25" s="8">
        <v>3</v>
      </c>
      <c r="F25" s="8">
        <v>2</v>
      </c>
      <c r="G25" s="9">
        <v>1</v>
      </c>
      <c r="H25" s="9" t="s">
        <v>20</v>
      </c>
      <c r="I25" s="9"/>
      <c r="J25" s="9"/>
      <c r="K25" s="9">
        <v>1</v>
      </c>
      <c r="L25" s="9" t="s">
        <v>20</v>
      </c>
      <c r="M25" s="9" t="str">
        <f t="shared" si="0"/>
        <v>IgA002-1d1d</v>
      </c>
      <c r="N25" s="9">
        <f t="shared" si="1"/>
        <v>3</v>
      </c>
      <c r="O25" s="2" t="str">
        <f t="shared" si="2"/>
        <v>Pelo menos uma vez</v>
      </c>
    </row>
    <row r="26" spans="1:15" x14ac:dyDescent="0.25">
      <c r="A26" s="2" t="s">
        <v>19</v>
      </c>
      <c r="B26" s="2" t="s">
        <v>50</v>
      </c>
      <c r="C26" s="2" t="s">
        <v>218</v>
      </c>
      <c r="D26" s="8">
        <v>2</v>
      </c>
      <c r="E26" s="8">
        <v>3</v>
      </c>
      <c r="F26" s="8">
        <v>3</v>
      </c>
      <c r="G26" s="9">
        <v>1</v>
      </c>
      <c r="H26" s="9" t="s">
        <v>20</v>
      </c>
      <c r="I26" s="9"/>
      <c r="J26" s="9"/>
      <c r="K26" s="9">
        <v>1</v>
      </c>
      <c r="L26" s="9" t="s">
        <v>20</v>
      </c>
      <c r="M26" s="9" t="str">
        <f t="shared" si="0"/>
        <v>IgA003-1d1d</v>
      </c>
      <c r="N26" s="9">
        <f t="shared" si="1"/>
        <v>3</v>
      </c>
      <c r="O26" s="2" t="str">
        <f t="shared" si="2"/>
        <v>Pelo menos uma vez</v>
      </c>
    </row>
    <row r="27" spans="1:15" x14ac:dyDescent="0.25">
      <c r="A27" s="2" t="s">
        <v>19</v>
      </c>
      <c r="B27" s="2" t="s">
        <v>50</v>
      </c>
      <c r="C27" s="2" t="s">
        <v>219</v>
      </c>
      <c r="D27" s="8">
        <v>2</v>
      </c>
      <c r="E27" s="8">
        <v>3</v>
      </c>
      <c r="F27" s="8">
        <v>4</v>
      </c>
      <c r="G27" s="9">
        <v>1</v>
      </c>
      <c r="H27" s="9" t="s">
        <v>20</v>
      </c>
      <c r="I27" s="9"/>
      <c r="J27" s="9"/>
      <c r="K27" s="9">
        <v>1</v>
      </c>
      <c r="L27" s="9" t="s">
        <v>20</v>
      </c>
      <c r="M27" s="9" t="str">
        <f t="shared" si="0"/>
        <v>IgA004-1d1d</v>
      </c>
      <c r="N27" s="9">
        <f t="shared" si="1"/>
        <v>3</v>
      </c>
      <c r="O27" s="2" t="str">
        <f t="shared" si="2"/>
        <v>Pelo menos uma vez</v>
      </c>
    </row>
    <row r="28" spans="1:15" x14ac:dyDescent="0.25">
      <c r="A28" s="2" t="s">
        <v>19</v>
      </c>
      <c r="B28" s="2" t="s">
        <v>50</v>
      </c>
      <c r="C28" s="2" t="s">
        <v>220</v>
      </c>
      <c r="D28" s="8">
        <v>2</v>
      </c>
      <c r="E28" s="8">
        <v>3</v>
      </c>
      <c r="F28" s="8">
        <v>5</v>
      </c>
      <c r="G28" s="9">
        <v>1</v>
      </c>
      <c r="H28" s="9" t="s">
        <v>20</v>
      </c>
      <c r="I28" s="9">
        <v>7</v>
      </c>
      <c r="J28" s="9" t="s">
        <v>20</v>
      </c>
      <c r="K28" s="9">
        <v>21</v>
      </c>
      <c r="L28" s="9" t="s">
        <v>20</v>
      </c>
      <c r="M28" s="9" t="str">
        <f t="shared" si="0"/>
        <v>IgA005-1d21d</v>
      </c>
      <c r="N28" s="9">
        <f t="shared" si="1"/>
        <v>3</v>
      </c>
      <c r="O28" s="2" t="str">
        <f t="shared" si="2"/>
        <v>Uma vez por dia, a cada 7 dias, por um período de 21 dias</v>
      </c>
    </row>
    <row r="29" spans="1:15" x14ac:dyDescent="0.25">
      <c r="A29" s="2" t="s">
        <v>19</v>
      </c>
      <c r="B29" s="2" t="s">
        <v>50</v>
      </c>
      <c r="C29" s="2" t="s">
        <v>293</v>
      </c>
      <c r="D29" s="8">
        <v>2</v>
      </c>
      <c r="E29" s="8">
        <v>3</v>
      </c>
      <c r="F29" s="8">
        <v>6</v>
      </c>
      <c r="G29" s="9">
        <v>1</v>
      </c>
      <c r="H29" s="9" t="s">
        <v>20</v>
      </c>
      <c r="I29" s="9"/>
      <c r="J29" s="9"/>
      <c r="K29" s="9">
        <v>30</v>
      </c>
      <c r="L29" s="9" t="s">
        <v>20</v>
      </c>
      <c r="M29" s="9" t="str">
        <f t="shared" si="0"/>
        <v>IgA006-1d30d</v>
      </c>
      <c r="N29" s="9">
        <f t="shared" si="1"/>
        <v>3</v>
      </c>
      <c r="O29" s="2" t="str">
        <f t="shared" si="2"/>
        <v>Uma vez por dia por um período de 30 dias</v>
      </c>
    </row>
    <row r="30" spans="1:15" x14ac:dyDescent="0.25">
      <c r="A30" s="2" t="s">
        <v>19</v>
      </c>
      <c r="B30" s="2" t="s">
        <v>50</v>
      </c>
      <c r="C30" s="2" t="s">
        <v>221</v>
      </c>
      <c r="D30" s="8">
        <v>2</v>
      </c>
      <c r="E30" s="8">
        <v>3</v>
      </c>
      <c r="F30" s="8">
        <v>7</v>
      </c>
      <c r="G30" s="9">
        <v>1</v>
      </c>
      <c r="H30" s="9" t="s">
        <v>20</v>
      </c>
      <c r="I30" s="9">
        <v>7</v>
      </c>
      <c r="J30" s="9" t="s">
        <v>20</v>
      </c>
      <c r="K30" s="9">
        <v>30</v>
      </c>
      <c r="L30" s="9" t="s">
        <v>20</v>
      </c>
      <c r="M30" s="9" t="str">
        <f t="shared" si="0"/>
        <v>IgA007-1d30d</v>
      </c>
      <c r="N30" s="9">
        <f t="shared" si="1"/>
        <v>3</v>
      </c>
      <c r="O30" s="2" t="str">
        <f t="shared" si="2"/>
        <v>Uma vez por dia, a cada 7 dias, por um período de 30 dias</v>
      </c>
    </row>
    <row r="31" spans="1:15" x14ac:dyDescent="0.25">
      <c r="A31" s="2" t="s">
        <v>19</v>
      </c>
      <c r="B31" s="2" t="s">
        <v>50</v>
      </c>
      <c r="C31" s="2" t="s">
        <v>222</v>
      </c>
      <c r="D31" s="8">
        <v>2</v>
      </c>
      <c r="E31" s="8">
        <v>3</v>
      </c>
      <c r="F31" s="8">
        <v>8</v>
      </c>
      <c r="G31" s="9">
        <v>1</v>
      </c>
      <c r="H31" s="9" t="s">
        <v>20</v>
      </c>
      <c r="I31" s="9"/>
      <c r="J31" s="9"/>
      <c r="K31" s="9">
        <v>3</v>
      </c>
      <c r="L31" s="9" t="s">
        <v>20</v>
      </c>
      <c r="M31" s="9" t="str">
        <f t="shared" si="0"/>
        <v>IgA008-1d3d</v>
      </c>
      <c r="N31" s="9">
        <f t="shared" si="1"/>
        <v>3</v>
      </c>
      <c r="O31" s="2" t="str">
        <f t="shared" si="2"/>
        <v>Uma vez por dia por um período de 3 dias</v>
      </c>
    </row>
    <row r="32" spans="1:15" x14ac:dyDescent="0.25">
      <c r="A32" s="2" t="s">
        <v>19</v>
      </c>
      <c r="B32" s="2" t="s">
        <v>50</v>
      </c>
      <c r="C32" s="2" t="s">
        <v>223</v>
      </c>
      <c r="D32" s="8">
        <v>2</v>
      </c>
      <c r="E32" s="8">
        <v>3</v>
      </c>
      <c r="F32" s="8">
        <v>9</v>
      </c>
      <c r="G32" s="9">
        <v>1</v>
      </c>
      <c r="H32" s="9" t="s">
        <v>20</v>
      </c>
      <c r="I32" s="9">
        <v>7</v>
      </c>
      <c r="J32" s="9" t="s">
        <v>20</v>
      </c>
      <c r="K32" s="9">
        <v>60</v>
      </c>
      <c r="L32" s="9" t="s">
        <v>20</v>
      </c>
      <c r="M32" s="9" t="str">
        <f t="shared" si="0"/>
        <v>IgA009-1d60d</v>
      </c>
      <c r="N32" s="9">
        <f t="shared" si="1"/>
        <v>3</v>
      </c>
      <c r="O32" s="2" t="str">
        <f t="shared" si="2"/>
        <v>Uma vez por dia, a cada 7 dias, por um período de 60 dias</v>
      </c>
    </row>
    <row r="33" spans="1:15" x14ac:dyDescent="0.25">
      <c r="A33" s="2" t="s">
        <v>19</v>
      </c>
      <c r="B33" s="2" t="s">
        <v>50</v>
      </c>
      <c r="C33" s="2" t="s">
        <v>294</v>
      </c>
      <c r="D33" s="8">
        <v>2</v>
      </c>
      <c r="E33" s="8">
        <v>3</v>
      </c>
      <c r="F33" s="8">
        <v>10</v>
      </c>
      <c r="G33" s="9">
        <v>1</v>
      </c>
      <c r="H33" s="9" t="s">
        <v>20</v>
      </c>
      <c r="I33" s="9">
        <v>7</v>
      </c>
      <c r="J33" s="9" t="s">
        <v>20</v>
      </c>
      <c r="K33" s="9">
        <v>60</v>
      </c>
      <c r="L33" s="9" t="s">
        <v>20</v>
      </c>
      <c r="M33" s="9" t="str">
        <f t="shared" si="0"/>
        <v>IgA010-1d60d</v>
      </c>
      <c r="N33" s="9">
        <f t="shared" si="1"/>
        <v>3</v>
      </c>
      <c r="O33" s="2" t="str">
        <f t="shared" si="2"/>
        <v>Uma vez por dia, a cada 7 dias, por um período de 60 dias</v>
      </c>
    </row>
    <row r="34" spans="1:15" x14ac:dyDescent="0.25">
      <c r="A34" s="2" t="s">
        <v>19</v>
      </c>
      <c r="B34" s="2" t="s">
        <v>50</v>
      </c>
      <c r="C34" s="2" t="s">
        <v>224</v>
      </c>
      <c r="D34" s="8">
        <v>2</v>
      </c>
      <c r="E34" s="8">
        <v>3</v>
      </c>
      <c r="F34" s="8">
        <v>11</v>
      </c>
      <c r="G34" s="9">
        <v>1</v>
      </c>
      <c r="H34" s="9" t="s">
        <v>20</v>
      </c>
      <c r="I34" s="9"/>
      <c r="J34" s="9"/>
      <c r="K34" s="9">
        <v>1</v>
      </c>
      <c r="L34" s="9" t="s">
        <v>20</v>
      </c>
      <c r="M34" s="9" t="str">
        <f t="shared" si="0"/>
        <v>IgA011-1d1d</v>
      </c>
      <c r="N34" s="9">
        <f t="shared" si="1"/>
        <v>3</v>
      </c>
      <c r="O34" s="2" t="str">
        <f t="shared" si="2"/>
        <v>Pelo menos uma vez</v>
      </c>
    </row>
    <row r="35" spans="1:15" x14ac:dyDescent="0.25">
      <c r="A35" s="2" t="s">
        <v>19</v>
      </c>
      <c r="B35" s="2" t="s">
        <v>50</v>
      </c>
      <c r="C35" s="2" t="s">
        <v>225</v>
      </c>
      <c r="D35" s="8">
        <v>2</v>
      </c>
      <c r="E35" s="8">
        <v>3</v>
      </c>
      <c r="F35" s="8">
        <v>12</v>
      </c>
      <c r="G35" s="9">
        <v>1</v>
      </c>
      <c r="H35" s="9" t="s">
        <v>20</v>
      </c>
      <c r="I35" s="9"/>
      <c r="J35" s="9"/>
      <c r="K35" s="9">
        <v>1</v>
      </c>
      <c r="L35" s="9" t="s">
        <v>20</v>
      </c>
      <c r="M35" s="9" t="str">
        <f t="shared" si="0"/>
        <v>IgA012-1d1d</v>
      </c>
      <c r="N35" s="9">
        <f t="shared" si="1"/>
        <v>3</v>
      </c>
      <c r="O35" s="2" t="str">
        <f t="shared" si="2"/>
        <v>Pelo menos uma vez</v>
      </c>
    </row>
    <row r="36" spans="1:15" x14ac:dyDescent="0.25">
      <c r="A36" s="2" t="s">
        <v>19</v>
      </c>
      <c r="B36" s="2" t="s">
        <v>50</v>
      </c>
      <c r="C36" s="2" t="s">
        <v>226</v>
      </c>
      <c r="D36" s="8">
        <v>2</v>
      </c>
      <c r="E36" s="8">
        <v>3</v>
      </c>
      <c r="F36" s="8">
        <v>13</v>
      </c>
      <c r="G36" s="9">
        <v>1</v>
      </c>
      <c r="H36" s="9" t="s">
        <v>20</v>
      </c>
      <c r="I36" s="9"/>
      <c r="J36" s="9"/>
      <c r="K36" s="9">
        <v>1</v>
      </c>
      <c r="L36" s="9" t="s">
        <v>20</v>
      </c>
      <c r="M36" s="9" t="str">
        <f t="shared" si="0"/>
        <v>IgA013-1d1d</v>
      </c>
      <c r="N36" s="9">
        <f t="shared" si="1"/>
        <v>3</v>
      </c>
      <c r="O36" s="2" t="str">
        <f t="shared" si="2"/>
        <v>Pelo menos uma vez</v>
      </c>
    </row>
    <row r="37" spans="1:15" x14ac:dyDescent="0.25">
      <c r="A37" s="2" t="s">
        <v>19</v>
      </c>
      <c r="B37" s="2" t="s">
        <v>50</v>
      </c>
      <c r="C37" s="2" t="s">
        <v>227</v>
      </c>
      <c r="D37" s="8">
        <v>2</v>
      </c>
      <c r="E37" s="8">
        <v>3</v>
      </c>
      <c r="F37" s="8">
        <v>14</v>
      </c>
      <c r="G37" s="9">
        <v>1</v>
      </c>
      <c r="H37" s="9" t="s">
        <v>20</v>
      </c>
      <c r="I37" s="9">
        <v>7</v>
      </c>
      <c r="J37" s="9" t="s">
        <v>20</v>
      </c>
      <c r="K37" s="9">
        <v>30</v>
      </c>
      <c r="L37" s="9" t="s">
        <v>20</v>
      </c>
      <c r="M37" s="9" t="str">
        <f t="shared" si="0"/>
        <v>IgA014-1d30d</v>
      </c>
      <c r="N37" s="9">
        <f t="shared" si="1"/>
        <v>3</v>
      </c>
      <c r="O37" s="2" t="str">
        <f t="shared" si="2"/>
        <v>Uma vez por dia, a cada 7 dias, por um período de 30 dias</v>
      </c>
    </row>
    <row r="38" spans="1:15" x14ac:dyDescent="0.25">
      <c r="A38" s="2" t="s">
        <v>19</v>
      </c>
      <c r="B38" s="2" t="s">
        <v>50</v>
      </c>
      <c r="C38" s="2" t="s">
        <v>228</v>
      </c>
      <c r="D38" s="8">
        <v>2</v>
      </c>
      <c r="E38" s="8">
        <v>3</v>
      </c>
      <c r="F38" s="8">
        <v>15</v>
      </c>
      <c r="G38" s="9">
        <v>1</v>
      </c>
      <c r="H38" s="9" t="s">
        <v>20</v>
      </c>
      <c r="I38" s="9"/>
      <c r="J38" s="9"/>
      <c r="K38" s="9">
        <v>1</v>
      </c>
      <c r="L38" s="9" t="s">
        <v>20</v>
      </c>
      <c r="M38" s="9" t="str">
        <f t="shared" si="0"/>
        <v>IgA015-1d1d</v>
      </c>
      <c r="N38" s="9">
        <f t="shared" si="1"/>
        <v>3</v>
      </c>
      <c r="O38" s="2" t="str">
        <f t="shared" si="2"/>
        <v>Pelo menos uma vez</v>
      </c>
    </row>
    <row r="40" spans="1:15" x14ac:dyDescent="0.25">
      <c r="A40" s="4"/>
      <c r="B40" s="4"/>
    </row>
  </sheetData>
  <dataValidations disablePrompts="1" count="1">
    <dataValidation type="whole" operator="greaterThanOrEqual" allowBlank="1" showInputMessage="1" showErrorMessage="1" errorTitle="Número inválido" error="Informe um número inteiro maior ou igual a 0" sqref="G2:G1037 I2:I1037 K2:K1037" xr:uid="{00000000-0002-0000-0700-000003000000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Resumo &amp; Instruções</vt:lpstr>
      <vt:lpstr>_DV</vt:lpstr>
      <vt:lpstr>Familia</vt:lpstr>
      <vt:lpstr>Escola</vt:lpstr>
      <vt:lpstr>Eu mesmo</vt:lpstr>
      <vt:lpstr>Amigos</vt:lpstr>
      <vt:lpstr>Comunidade</vt:lpstr>
      <vt:lpstr>Igreja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Wanderley</dc:creator>
  <cp:lastModifiedBy>Wanderley Gazeta</cp:lastModifiedBy>
  <dcterms:created xsi:type="dcterms:W3CDTF">2025-09-12T11:35:00Z</dcterms:created>
  <dcterms:modified xsi:type="dcterms:W3CDTF">2025-12-07T14:41:47Z</dcterms:modified>
</cp:coreProperties>
</file>